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tbwa/Downloads/"/>
    </mc:Choice>
  </mc:AlternateContent>
  <xr:revisionPtr revIDLastSave="0" documentId="8_{ADD98754-B36F-2C4A-8DE8-7549B31DBC78}" xr6:coauthVersionLast="47" xr6:coauthVersionMax="47" xr10:uidLastSave="{00000000-0000-0000-0000-000000000000}"/>
  <bookViews>
    <workbookView xWindow="0" yWindow="760" windowWidth="29400" windowHeight="17160" activeTab="3" xr2:uid="{00000000-000D-0000-FFFF-FFFF00000000}"/>
  </bookViews>
  <sheets>
    <sheet name="Closing Task" sheetId="1" r:id="rId1"/>
    <sheet name="Closing Task - Gannt Chart" sheetId="2" r:id="rId2"/>
    <sheet name="Tax Filing" sheetId="3" r:id="rId3"/>
    <sheet name="Holidays &amp; Calendar" sheetId="4" r:id="rId4"/>
  </sheets>
  <definedNames>
    <definedName name="_xlnm._FilterDatabase" localSheetId="1" hidden="1">'Closing Task - Gannt Chart'!$E$1:$E$1104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5" i="4" l="1"/>
  <c r="M45" i="4"/>
  <c r="L45" i="4"/>
  <c r="K45" i="4"/>
  <c r="N44" i="4"/>
  <c r="M44" i="4"/>
  <c r="L44" i="4"/>
  <c r="K44" i="4"/>
  <c r="N43" i="4"/>
  <c r="M43" i="4"/>
  <c r="L43" i="4"/>
  <c r="K43" i="4"/>
  <c r="N40" i="4"/>
  <c r="M40" i="4"/>
  <c r="L40" i="4"/>
  <c r="K40" i="4"/>
  <c r="N39" i="4"/>
  <c r="M39" i="4"/>
  <c r="L39" i="4"/>
  <c r="K39" i="4"/>
  <c r="N38" i="4"/>
  <c r="M38" i="4"/>
  <c r="L38" i="4"/>
  <c r="K38" i="4"/>
  <c r="N35" i="4"/>
  <c r="M35" i="4"/>
  <c r="L35" i="4"/>
  <c r="K35" i="4"/>
  <c r="N34" i="4"/>
  <c r="M34" i="4"/>
  <c r="L34" i="4"/>
  <c r="K34" i="4"/>
  <c r="M30" i="4"/>
  <c r="L30" i="4"/>
  <c r="M29" i="4"/>
  <c r="L29" i="4"/>
  <c r="M28" i="4"/>
  <c r="L28" i="4"/>
  <c r="M27" i="4"/>
  <c r="L27" i="4"/>
  <c r="M26" i="4"/>
  <c r="L26" i="4"/>
  <c r="M25" i="4"/>
  <c r="L25" i="4"/>
  <c r="M24" i="4"/>
  <c r="L24" i="4"/>
  <c r="M23" i="4"/>
  <c r="L23" i="4"/>
  <c r="M22" i="4"/>
  <c r="L22" i="4"/>
  <c r="M21" i="4"/>
  <c r="L21" i="4"/>
  <c r="M20" i="4"/>
  <c r="L20" i="4"/>
  <c r="M19" i="4"/>
  <c r="L19" i="4"/>
  <c r="M18" i="4"/>
  <c r="L18" i="4"/>
  <c r="M17" i="4"/>
  <c r="L17" i="4"/>
  <c r="M16" i="4"/>
  <c r="L16" i="4"/>
  <c r="M15" i="4"/>
  <c r="L15" i="4"/>
  <c r="M14" i="4"/>
  <c r="L14" i="4"/>
  <c r="J11" i="4"/>
  <c r="J10" i="4"/>
  <c r="J9" i="4"/>
  <c r="J4" i="4"/>
  <c r="J3" i="4"/>
  <c r="J2" i="4"/>
  <c r="N14" i="4" s="1"/>
  <c r="F4" i="4"/>
  <c r="F23" i="3"/>
  <c r="E23" i="3"/>
  <c r="D23" i="3"/>
  <c r="F22" i="3"/>
  <c r="E22" i="3"/>
  <c r="D22" i="3"/>
  <c r="F21" i="3"/>
  <c r="E21" i="3"/>
  <c r="D21" i="3"/>
  <c r="F20" i="3"/>
  <c r="E20" i="3"/>
  <c r="D20" i="3"/>
  <c r="F19" i="3"/>
  <c r="E19" i="3"/>
  <c r="D19" i="3"/>
  <c r="F18" i="3"/>
  <c r="E18" i="3"/>
  <c r="D18" i="3"/>
  <c r="F17" i="3"/>
  <c r="E17" i="3"/>
  <c r="D17" i="3"/>
  <c r="F16" i="3"/>
  <c r="E16" i="3"/>
  <c r="D16" i="3"/>
  <c r="F15" i="3"/>
  <c r="E15" i="3"/>
  <c r="D15" i="3"/>
  <c r="F14" i="3"/>
  <c r="E14" i="3"/>
  <c r="D14" i="3"/>
  <c r="F13" i="3"/>
  <c r="E13" i="3"/>
  <c r="D13" i="3"/>
  <c r="F12" i="3"/>
  <c r="E12" i="3"/>
  <c r="D12" i="3"/>
  <c r="F11" i="3"/>
  <c r="E11" i="3"/>
  <c r="D11" i="3"/>
  <c r="F10" i="3"/>
  <c r="E10" i="3"/>
  <c r="D10" i="3"/>
  <c r="F9" i="3"/>
  <c r="E9" i="3"/>
  <c r="D9" i="3"/>
  <c r="F8" i="3"/>
  <c r="E8" i="3"/>
  <c r="D8" i="3"/>
  <c r="F7" i="3"/>
  <c r="E7" i="3"/>
  <c r="D7" i="3"/>
  <c r="F6" i="3"/>
  <c r="E6" i="3"/>
  <c r="D6" i="3"/>
  <c r="F5" i="3"/>
  <c r="E5" i="3"/>
  <c r="D5" i="3"/>
  <c r="F4" i="3"/>
  <c r="E4" i="3"/>
  <c r="D4" i="3"/>
  <c r="F3" i="3"/>
  <c r="E3" i="3"/>
  <c r="D3" i="3"/>
  <c r="F2" i="3"/>
  <c r="E2" i="3"/>
  <c r="D2" i="3"/>
  <c r="N30" i="4" l="1"/>
  <c r="N29" i="4"/>
  <c r="N28" i="4"/>
  <c r="N27" i="4"/>
  <c r="N26" i="4"/>
  <c r="N25" i="4"/>
  <c r="N24" i="4"/>
  <c r="N23" i="4"/>
  <c r="N22" i="4"/>
  <c r="N21" i="4"/>
  <c r="N20" i="4"/>
  <c r="N19" i="4"/>
  <c r="N18" i="4"/>
  <c r="N17" i="4"/>
  <c r="N16" i="4"/>
  <c r="N15" i="4"/>
</calcChain>
</file>

<file path=xl/sharedStrings.xml><?xml version="1.0" encoding="utf-8"?>
<sst xmlns="http://schemas.openxmlformats.org/spreadsheetml/2006/main" count="1053" uniqueCount="300">
  <si>
    <t>Employee Code</t>
  </si>
  <si>
    <t>Task Category</t>
  </si>
  <si>
    <t>Detailed Monthly Tasks</t>
  </si>
  <si>
    <t>Reviewed by</t>
  </si>
  <si>
    <t>Approved by</t>
  </si>
  <si>
    <t>Preparation</t>
  </si>
  <si>
    <t>Review</t>
  </si>
  <si>
    <t>Approval</t>
  </si>
  <si>
    <t>RIM</t>
  </si>
  <si>
    <t>Payroll &amp; Personnel</t>
  </si>
  <si>
    <t>Process and record Payroll, Final Pay, SL Conversions, and early retirement accrual.</t>
  </si>
  <si>
    <t>CKVC</t>
  </si>
  <si>
    <t>1 Day</t>
  </si>
  <si>
    <t>0.5 Day</t>
  </si>
  <si>
    <t>Tax &amp; Provisions</t>
  </si>
  <si>
    <t>Calculate and record the monthly Tax Provision and PPB Provision (performance bonuses).</t>
  </si>
  <si>
    <t>Rent &amp; Leases</t>
  </si>
  <si>
    <t>Record recurring monthly Rental Income/Expense and monthly amortization expense for employee hospitalization plans.</t>
  </si>
  <si>
    <t>Accruals &amp; Expenses</t>
  </si>
  <si>
    <t>Record accruals for Consultancy Fees and various routine General Expense Accruals.Estimated expense for which a vendor invoice has not yet been received.</t>
  </si>
  <si>
    <t>Process and record Payments for various Cash Advances. Recording the funding/issuance of cash to employees for expected business expenditures.</t>
  </si>
  <si>
    <t>Prior Period Review</t>
  </si>
  <si>
    <t>The necessary reversal or adjustment of temporary journal entries created in a previous month. Process reversal entries for the prior month's accruals and reclassifications.</t>
  </si>
  <si>
    <t>BOM</t>
  </si>
  <si>
    <t>Amortization &amp; Corporate</t>
  </si>
  <si>
    <t>Allocating prepaid expenses and capital costs over time to reflect true monthly resource consumption. Record monthly Depreciation, Amortization for vehicles/purchases/LOA, and Amortization for all technology licenses and shared service costs.</t>
  </si>
  <si>
    <t>Corporate Accruals</t>
  </si>
  <si>
    <t>Accrue monthly expenses for Management and Royalty fees, consulting fees, and funds for Innovations/Initiatives. Brief Detail: Recognizing an expense for internal projects or strategic corporate investments not yet formally invoiced.</t>
  </si>
  <si>
    <t>Insurance</t>
  </si>
  <si>
    <t>Monthly tracking and recording of premiums for various corporate insurance policies. Record monthly accrual for various Corporate Insurance types and amortize prepaid Health Insurance.</t>
  </si>
  <si>
    <t>Treasury &amp; Other</t>
  </si>
  <si>
    <t>Non-operating financial activities including capital structure and compliance. Record monthly bank charges, perform revaluation of foreign currency bank accounts, and record the monthly expense portion of the Omnicom stock option grant.</t>
  </si>
  <si>
    <t>Process reversal entries for all prior month Accruals (e.g., trainings, production/retainers).</t>
  </si>
  <si>
    <t>Regional Reporting</t>
  </si>
  <si>
    <t>Prepare reports for Flash, Wins &amp; Losses and Revenue.</t>
  </si>
  <si>
    <t>JPAL</t>
  </si>
  <si>
    <t>Client Billings</t>
  </si>
  <si>
    <t>Recognizing revenue and billable costs based on client contracts and project status. Accrue estimated Production, Retainer Fees, Media Commission, Creative Fees, and OOPC. Recording estimated Out-of-Pocket Costs that will eventually be billed to a client.</t>
  </si>
  <si>
    <t>WIP/OOP Management</t>
  </si>
  <si>
    <t>Reconciling and reclassifying costs to ensure they are correctly categorized as billable (WIP) or internal (OOP). Perform month-end Reclassifications of OOP to WIP (moves client-related expenses to an active project account) and necessary Reclass WIP to OOP (moves costs back if non-billable).</t>
  </si>
  <si>
    <t>Allocating prepaid expenses and capital costs over time to reflect true monthly resource consumption. Record monthly Amortization of the Business Permit and Amortization of LOA.</t>
  </si>
  <si>
    <t>Accrue estimated monthly Audit Fees.</t>
  </si>
  <si>
    <t>Record monthly Rental Expense/Income related to intercompany transactions.</t>
  </si>
  <si>
    <t>Perform month-end Revaluation of Intercompany Balances. Adjusting intercompany balances to reflect the correct value at the month-end exchange rate.</t>
  </si>
  <si>
    <t>AR Aging - WC</t>
  </si>
  <si>
    <t>Prepare reports for Working Captital related to AR</t>
  </si>
  <si>
    <t>LAS</t>
  </si>
  <si>
    <t>CA Liquidations</t>
  </si>
  <si>
    <t>Process and record Cash Advance (CA) Liquidations for specific project-related expenses.</t>
  </si>
  <si>
    <t>AP Aging - WC</t>
  </si>
  <si>
    <t>Prepare AP Aging report for working captital submission</t>
  </si>
  <si>
    <t>OOP</t>
  </si>
  <si>
    <t>Prepare HOW's summary report</t>
  </si>
  <si>
    <t>Asset &amp; Lease Entries</t>
  </si>
  <si>
    <t>Recording transactions for financed assets and long-term commitments. Record monthly interest expense on leased assets and process amortization reclassifications for prepaid corporate fees.</t>
  </si>
  <si>
    <t>Reclassifications</t>
  </si>
  <si>
    <t>Correcting entries across the general ledger (GL). Process required reclassifications between specific GL accounts and between Marketing Expense categories.</t>
  </si>
  <si>
    <t>JLI</t>
  </si>
  <si>
    <t>VAT &amp; Taxes</t>
  </si>
  <si>
    <t>Compile and record monthly Input VAT entries (VAT paid on purchases) and the monthly VAT Report (cumulative summary of VAT activity).</t>
  </si>
  <si>
    <t>Accruals &amp; Assets</t>
  </si>
  <si>
    <t>Recording estimated expenses for recurring monthly costs and recognizing non-fixed asset costs. Accrue recurring Expenses (estimated expense for regularly occurring services).</t>
  </si>
  <si>
    <t>Record the monthly recognition/capitalization of Other Computer Related Costs.</t>
  </si>
  <si>
    <t>AP Aging</t>
  </si>
  <si>
    <t>Prepare AP Aging report with detailed status per invoice.</t>
  </si>
  <si>
    <t>RMQB</t>
  </si>
  <si>
    <t>Process and record Cash Advance (CA) Liquidations submitted by employees.</t>
  </si>
  <si>
    <t>Accrue monthly expense for Employee Cellphone Allowance</t>
  </si>
  <si>
    <t>Expense Reclassification</t>
  </si>
  <si>
    <t>Adjusting a recorded expense from one GL account to another to ensure correct reporting. Process reclassifications to correct expense categories (e.g., General Expense to Wireless and Meals).</t>
  </si>
  <si>
    <t>JAP</t>
  </si>
  <si>
    <t>VAT Reporting</t>
  </si>
  <si>
    <t>Compile, review, and record the monthly VAT Report (Initial and additional entries).</t>
  </si>
  <si>
    <t>Job Transfers</t>
  </si>
  <si>
    <t>Adjusting costs or revenues between different internal project codes or job numbers. Process and record Transfers of Job Codes for consultancy fees and corporate projects.</t>
  </si>
  <si>
    <t>Record specific GL reclassifications needed for month-end adjustments</t>
  </si>
  <si>
    <t>JRMO</t>
  </si>
  <si>
    <t>Accruals</t>
  </si>
  <si>
    <t>Compile documents for the attachment of the revenue accruals.</t>
  </si>
  <si>
    <t>WIP</t>
  </si>
  <si>
    <t>Prepare WIP schedule summary per Job#</t>
  </si>
  <si>
    <t>Detailed Task</t>
  </si>
  <si>
    <t>Activity</t>
  </si>
  <si>
    <t>Employee</t>
  </si>
  <si>
    <t>I. Initial &amp; Compliance</t>
  </si>
  <si>
    <t>Payroll Processing &amp; Tax Provision</t>
  </si>
  <si>
    <t>1. Process and record Payroll, Final Pay, SL Conversions, and early retirement accrual.</t>
  </si>
  <si>
    <t>RIM (SFM)</t>
  </si>
  <si>
    <t>CKVC (FD)</t>
  </si>
  <si>
    <t>2. Calculate and record the monthly Tax Provision and PPB Provision (performance bonuses).</t>
  </si>
  <si>
    <t>VAT Data/Filing</t>
  </si>
  <si>
    <t>1. Compile, review, and record the monthly VAT Report (Initial and additional entries).</t>
  </si>
  <si>
    <t>2. Compile and record monthly Input VAT entries (VAT paid on purchases) and the monthly VAT Report (cumulative summary of VAT activity).</t>
  </si>
  <si>
    <t>JIL</t>
  </si>
  <si>
    <t>CA Liquidations (All)</t>
  </si>
  <si>
    <t>1. Process and record Cash Advance (CA) Liquidations for specific project-related expenses.</t>
  </si>
  <si>
    <t>2. Process and record Cash Advance (CA) Liquidations submitted by employees.</t>
  </si>
  <si>
    <t>II. Accruals &amp; Amortization</t>
  </si>
  <si>
    <t>Accruals (Revenue/Fees)</t>
  </si>
  <si>
    <t>1. Record accruals for Consultancy Fees and various routine General Expense Accruals.Estimated expense for which a vendor invoice has not yet been received.</t>
  </si>
  <si>
    <t>2. Accrue monthly expenses for Management and Royalty fees, consulting fees, and funds for Innovations/Initiatives. Brief Detail: Recognizing an expense for internal projects or strategic corporate investments not yet formally invoiced.</t>
  </si>
  <si>
    <t>3. Recognizing revenue and billable costs based on client contracts and project status. Accrue estimated Production, Retainer Fees, Media Commission, Creative Fees, and OOPC. Recording estimated Out-of-Pocket Costs that will eventually be billed to a client.</t>
  </si>
  <si>
    <t>4. Recording estimated expenses for recurring monthly costs and recognizing non-fixed asset costs. Accrue recurring Expenses (estimated expense for regularly occurring services).</t>
  </si>
  <si>
    <t>5. Record the monthly recognition/capitalization of Other Computer Related Costs.</t>
  </si>
  <si>
    <t>6. Accrue monthly expense for Employee Cellphone Allowance</t>
  </si>
  <si>
    <t>7. Compile documents for the attachment of the revenue accruals.</t>
  </si>
  <si>
    <t>JOL</t>
  </si>
  <si>
    <t>Amortizations (IT/Fixed Assets)</t>
  </si>
  <si>
    <t>1. Record recurring monthly Rental Income/Expense and monthly amortization expense for employee hospitalization plans.</t>
  </si>
  <si>
    <t>2. Allocating prepaid expenses and capital costs over time to reflect true monthly resource consumption. Record monthly Depreciation, Amortization for vehicles/purchases/LOA, and Amortization for all technology licenses and shared service costs.</t>
  </si>
  <si>
    <t>3. Accrue monthly expenses for Management and Royalty fees, consulting fees, and funds for Innovations/Initiatives. Brief Detail: Recognizing an expense for internal projects or strategic corporate investments not yet formally invoiced.</t>
  </si>
  <si>
    <t>4. Monthly tracking and recording of premiums for various corporate insurance policies. Record monthly accrual for various Corporate Insurance types and amortize prepaid Health Insurance.</t>
  </si>
  <si>
    <t>5. Allocating prepaid expenses and capital costs over time to reflect true monthly resource consumption. Record monthly Amortization of the Business Permit and Amortization of LOA.</t>
  </si>
  <si>
    <t>6. Accrue estimated monthly Audit Fees.</t>
  </si>
  <si>
    <t>7. Record monthly Rental Expense/Income related to intercompany transactions.</t>
  </si>
  <si>
    <t>8. Perform month-end Revaluation of Intercompany Balances. Adjusting intercompany balances to reflect the correct value at the month-end exchange rate.</t>
  </si>
  <si>
    <t>9. Recording transactions for financed assets and long-term commitments. Record monthly interest expense on leased assets and process amortization reclassifications for prepaid corporate fees.</t>
  </si>
  <si>
    <t>III. WIP</t>
  </si>
  <si>
    <t>WIP/OOP Reconciliation</t>
  </si>
  <si>
    <t>1. Reconciling and reclassifying costs to ensure they are correctly categorized as billable (WIP) or internal (OOP). Perform month-end Reclassifications of OOP to WIP (moves client-related expenses to an active project account) and necessary Reclass WIP to OOP (moves costs back if non-billable).</t>
  </si>
  <si>
    <t>2. Prepare WIP schedule summary per Job#</t>
  </si>
  <si>
    <t>IV. Final Adjustments &amp; Close</t>
  </si>
  <si>
    <t>1. The necessary reversal or adjustment of temporary journal entries created in a previous month. Process reversal entries for the prior month's accruals and reclassifications.</t>
  </si>
  <si>
    <t>2. Process reversal entries for all prior month Accruals (e.g., trainings, production/retainers).</t>
  </si>
  <si>
    <t>3. Prepare reports for Flash, Wins &amp; Losses and Revenue.</t>
  </si>
  <si>
    <t>4. Prepare reports for Working Captital related to AR</t>
  </si>
  <si>
    <t>5. Prepare AP Aging report for working captital submission</t>
  </si>
  <si>
    <t>6. Prepare HOW's summary report</t>
  </si>
  <si>
    <t>7.Correcting entries across the general ledger (GL). Process required reclassifications between specific GL accounts and between Marketing Expense categories.</t>
  </si>
  <si>
    <t>8. Prepare AP Aging report with detailed status per invoice.</t>
  </si>
  <si>
    <t>9. Adjusting a recorded expense from one GL account to another to ensure correct reporting. Process reclassifications to correct expense categories (e.g., General Expense to Wireless and Meals).</t>
  </si>
  <si>
    <t>RMBQ</t>
  </si>
  <si>
    <t>10. Adjusting costs or revenues between different internal project codes or job numbers. Process and record Transfers of Job Codes for consultancy fees and corporate projects.</t>
  </si>
  <si>
    <t>11. Final TB Review</t>
  </si>
  <si>
    <t>12. Final TB Sign-off &amp; Filing</t>
  </si>
  <si>
    <t>BIR Form</t>
  </si>
  <si>
    <t>Period Covered</t>
  </si>
  <si>
    <t>BIR Filing &amp; Payment Deadline (2026)</t>
  </si>
  <si>
    <t>1. Prep &amp; File Request (Finance Supervisor)</t>
  </si>
  <si>
    <t>2. Report Approval (Senior Finance Manager)</t>
  </si>
  <si>
    <t>3. Payment Approval (Finance Director)</t>
  </si>
  <si>
    <t>1601-C (Compensation)</t>
  </si>
  <si>
    <t>1601-C / 0619-E</t>
  </si>
  <si>
    <t>1601-EQ (Quarterly EWT)</t>
  </si>
  <si>
    <t>Q4 2025</t>
  </si>
  <si>
    <t>1702-RT/EX (Income Tax)</t>
  </si>
  <si>
    <t>Annual 2025</t>
  </si>
  <si>
    <t>2550Q (VAT)</t>
  </si>
  <si>
    <t>Q1 2026</t>
  </si>
  <si>
    <t>Q2 2026</t>
  </si>
  <si>
    <t>1702Q (Quarterly Income Tax)</t>
  </si>
  <si>
    <t>Q3 2026</t>
  </si>
  <si>
    <t>Step</t>
  </si>
  <si>
    <t>Process Detail</t>
  </si>
  <si>
    <t>Target Completion</t>
  </si>
  <si>
    <t>Responsible Role</t>
  </si>
  <si>
    <t>1. Preparation</t>
  </si>
  <si>
    <t>Gather data, prepare the BIR Form, and draft the payment request (e.g., check voucher).</t>
  </si>
  <si>
    <t>BIR Deadline - 4 Business Days</t>
  </si>
  <si>
    <t>Finance Supervisor</t>
  </si>
  <si>
    <t>2. Report Approval</t>
  </si>
  <si>
    <t>Senior Finance Manager (SFM) reviews and approves the report data for accuracy and compliance. (File Request is submitted to SFM.)</t>
  </si>
  <si>
    <t>BIR Deadline - 2 Business Days</t>
  </si>
  <si>
    <t>Senior Finance Manager</t>
  </si>
  <si>
    <t>3. Payment Approval</t>
  </si>
  <si>
    <t>The approved report and payment request are routed. Finance Director (FD) reviews and approves the release of funds for remittance.</t>
  </si>
  <si>
    <t>BIR Deadline - 1 Business Day</t>
  </si>
  <si>
    <t>Finance Director</t>
  </si>
  <si>
    <t>4. Filing &amp; Payment</t>
  </si>
  <si>
    <t>The approved form is Filed and the payment is Remitted (either electronically or over the counter).</t>
  </si>
  <si>
    <t>On or before the BIR Deadline</t>
  </si>
  <si>
    <t>Date</t>
  </si>
  <si>
    <t>Email</t>
  </si>
  <si>
    <t>rey.meran@omc.com</t>
  </si>
  <si>
    <t>khalil.veracruz@omc.com</t>
  </si>
  <si>
    <t>jasmin.ignacio@omc.com</t>
  </si>
  <si>
    <t>jinky.paladin@omc.com</t>
  </si>
  <si>
    <t>jerald.loterte@omc.com</t>
  </si>
  <si>
    <t>amor.lasaga@omc.com</t>
  </si>
  <si>
    <t>sally.brillantes@omc.com</t>
  </si>
  <si>
    <t>beng.manalo@omc.com</t>
  </si>
  <si>
    <t>jhoee.oliva@omc.com</t>
  </si>
  <si>
    <t>joana.maravillas@omc.com</t>
  </si>
  <si>
    <t>Holiday Name</t>
  </si>
  <si>
    <t>Type</t>
  </si>
  <si>
    <t>Feast of the Immaculate Conception</t>
  </si>
  <si>
    <t>Special Non-Working</t>
  </si>
  <si>
    <t>Christmas Eve</t>
  </si>
  <si>
    <t>Christmas Day</t>
  </si>
  <si>
    <t>Regular Holiday</t>
  </si>
  <si>
    <t>Rizal Day</t>
  </si>
  <si>
    <t>Last Day of the Year</t>
  </si>
  <si>
    <t>New Year's Day</t>
  </si>
  <si>
    <t>Chinese New Year</t>
  </si>
  <si>
    <t>Maundy Thursday</t>
  </si>
  <si>
    <t>Good Friday</t>
  </si>
  <si>
    <t>Black Saturday</t>
  </si>
  <si>
    <t>Araw ng Kagitingan</t>
  </si>
  <si>
    <t>Labor Day</t>
  </si>
  <si>
    <t>Independence Day</t>
  </si>
  <si>
    <t>Ninoy Aquino Day</t>
  </si>
  <si>
    <t>National Heroes Day</t>
  </si>
  <si>
    <t>All Saints' Day</t>
  </si>
  <si>
    <t>All Souls' Day</t>
  </si>
  <si>
    <t>Bonifacio Day</t>
  </si>
  <si>
    <t>WORKDAY CALCULATOR</t>
  </si>
  <si>
    <t>Deadline Date:</t>
  </si>
  <si>
    <t>← Enter deadline here</t>
  </si>
  <si>
    <t>Days Before:</t>
  </si>
  <si>
    <t>← Negative = before deadline</t>
  </si>
  <si>
    <t>Working Day Result:</t>
  </si>
  <si>
    <t>← Skips weekends &amp; holidays</t>
  </si>
  <si>
    <t>FORMULA TO USE:</t>
  </si>
  <si>
    <t>Holiday Range:</t>
  </si>
  <si>
    <t>Note: Add new holidays to column A to automatically adjust all dates</t>
  </si>
  <si>
    <t>Eid'l Fitr (End of Ramadan)</t>
  </si>
  <si>
    <t>Eid'l Adha (Feast of Sacrifice)</t>
  </si>
  <si>
    <t>Holidays &amp; Calendar'!$A$2:$A$46</t>
  </si>
  <si>
    <t>EXAMPLE: Tax Filing Deadlines</t>
  </si>
  <si>
    <t>Formula</t>
  </si>
  <si>
    <t>Description</t>
  </si>
  <si>
    <t>Prep (-4 days)</t>
  </si>
  <si>
    <t>4 business days before deadline</t>
  </si>
  <si>
    <t>Review (-2 days)</t>
  </si>
  <si>
    <t>2 business days before deadline</t>
  </si>
  <si>
    <t>Approval (-1 day)</t>
  </si>
  <si>
    <t>1 business day before deadline</t>
  </si>
  <si>
    <t>=WORKDAY(deadline,-days,holidays)</t>
  </si>
  <si>
    <t>=WORKDAY(C2,-4,Holidays)</t>
  </si>
  <si>
    <t>=WORKDAY(C2,-2,Holidays)</t>
  </si>
  <si>
    <t>=WORKDAY(C2,-1,Holidays)</t>
  </si>
  <si>
    <t>DYNAMIC CLOSING PERIOD DEADLINES</t>
  </si>
  <si>
    <t>Today's Date:</t>
  </si>
  <si>
    <t>Closing Month:</t>
  </si>
  <si>
    <t>← Previous month end</t>
  </si>
  <si>
    <t>Closing Deadline:</t>
  </si>
  <si>
    <t>← Last working day of current month</t>
  </si>
  <si>
    <t>INPUT: Select Closing Period</t>
  </si>
  <si>
    <t>Closing Year:</t>
  </si>
  <si>
    <t>← Enter year</t>
  </si>
  <si>
    <t>← Enter month (1-12)</t>
  </si>
  <si>
    <t>Period End Date:</t>
  </si>
  <si>
    <t>← Auto-calculated</t>
  </si>
  <si>
    <t>Soft Close (WD-5):</t>
  </si>
  <si>
    <t>← 5 working days before</t>
  </si>
  <si>
    <t>Hard Close:</t>
  </si>
  <si>
    <t>← WD+3 of next month</t>
  </si>
  <si>
    <t>Task</t>
  </si>
  <si>
    <t>Days</t>
  </si>
  <si>
    <t>Deadline</t>
  </si>
  <si>
    <t>Day</t>
  </si>
  <si>
    <t>Status</t>
  </si>
  <si>
    <t>Payroll &amp; Tax Provision</t>
  </si>
  <si>
    <t>Revenue Accruals</t>
  </si>
  <si>
    <t>Expense Accruals</t>
  </si>
  <si>
    <t>Depreciation &amp; Amortization</t>
  </si>
  <si>
    <t>Insurance &amp; Corporate</t>
  </si>
  <si>
    <t>Intercompany Transactions</t>
  </si>
  <si>
    <t>III. WIP/Reconciliation</t>
  </si>
  <si>
    <t>AP/AR Aging Reports</t>
  </si>
  <si>
    <t>IV. Final Close</t>
  </si>
  <si>
    <t>Prior Period Reversals</t>
  </si>
  <si>
    <t>GL Reclassifications</t>
  </si>
  <si>
    <t>Flash Reports</t>
  </si>
  <si>
    <t>Working Capital Reports</t>
  </si>
  <si>
    <t>V. Sign-off</t>
  </si>
  <si>
    <t>Final TB Review (SFM)</t>
  </si>
  <si>
    <t>Final TB Sign-off (FD)</t>
  </si>
  <si>
    <t>Regional Submission</t>
  </si>
  <si>
    <t>LEGEND:</t>
  </si>
  <si>
    <t>Status:</t>
  </si>
  <si>
    <t>To change period:</t>
  </si>
  <si>
    <t>TAX FILING DEADLINES</t>
  </si>
  <si>
    <t>BIR Deadline</t>
  </si>
  <si>
    <t>Prep (-4 WD)</t>
  </si>
  <si>
    <t>Review (-2 WD)</t>
  </si>
  <si>
    <t>Approval (-1 WD)</t>
  </si>
  <si>
    <t>Monthly Withholding Tax</t>
  </si>
  <si>
    <t>2550M</t>
  </si>
  <si>
    <t>Monthly VAT</t>
  </si>
  <si>
    <t>QUARTERLY (if applicable)</t>
  </si>
  <si>
    <t>1601-EQ</t>
  </si>
  <si>
    <t>Quarterly Expanded W/Tax</t>
  </si>
  <si>
    <t>2550Q</t>
  </si>
  <si>
    <t>Quarterly VAT</t>
  </si>
  <si>
    <t>1702Q</t>
  </si>
  <si>
    <t>Quarterly Income Tax</t>
  </si>
  <si>
    <t>ANNUAL (if December)</t>
  </si>
  <si>
    <t>1702-RT/EX</t>
  </si>
  <si>
    <t>Annual Income Tax Return</t>
  </si>
  <si>
    <t>1604-CF</t>
  </si>
  <si>
    <t>Annual Info Return (Compensation)</t>
  </si>
  <si>
    <t>1604-E</t>
  </si>
  <si>
    <t>Annual Info Return (Expanded)</t>
  </si>
  <si>
    <t>Closing Tasks:</t>
  </si>
  <si>
    <t>Days = working days relative to period end (negative=before, positive=after)</t>
  </si>
  <si>
    <t>Tax Filing:</t>
  </si>
  <si>
    <t>Prep/Review/Approval = working days before BIR deadline</t>
  </si>
  <si>
    <t>N/A = not applicable for selected month (quarterly/annual forms)</t>
  </si>
  <si>
    <t>Edit J7 (year) and J8 (month) → ALL deadlines auto-update!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</si>
</sst>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m&quot; &quot;d"/>
    <numFmt numFmtId="165" formatCode="mmm\ yyyy"/>
    <numFmt numFmtId="166" formatCode="mmm\ d"/>
    <numFmt numFmtId="167" formatCode="mmmm\ d"/>
    <numFmt numFmtId="168" formatCode="mmmm\ yyyy"/>
    <numFmt numFmtId="169" formatCode="mmm\ d\,\ yyyy"/>
  </numFmts>
  <fonts count="19" x14ac:knownFonts="1">
    <font>
      <sz val="10"/>
      <color rgb="FF000000"/>
      <name val="Arial"/>
      <scheme val="minor"/>
    </font>
    <font>
      <b/>
      <sz val="10"/>
      <color rgb="FF000000"/>
      <name val="Arial"/>
    </font>
    <font>
      <sz val="10"/>
      <color rgb="FF000000"/>
      <name val="Arial"/>
    </font>
    <font>
      <sz val="10"/>
      <name val="Arial"/>
    </font>
    <font>
      <sz val="10"/>
      <color theme="1"/>
      <name val="Arial"/>
      <scheme val="minor"/>
    </font>
    <font>
      <b/>
      <sz val="10"/>
      <color theme="1"/>
      <name val="Arial"/>
    </font>
    <font>
      <sz val="10"/>
      <color theme="1"/>
      <name val="Arial"/>
    </font>
    <font>
      <sz val="10"/>
      <color theme="1"/>
      <name val="Arial"/>
      <family val="2"/>
    </font>
    <font>
      <b/>
      <sz val="10"/>
      <color rgb="FF000000"/>
      <name val="Arial"/>
      <family val="2"/>
      <scheme val="minor"/>
    </font>
    <font>
      <b/>
      <sz val="10"/>
      <color theme="1"/>
      <name val="Arial"/>
      <family val="2"/>
    </font>
    <font>
      <b/>
      <sz val="10"/>
      <color rgb="FFFFFFFF"/>
      <name val="Arial"/>
      <family val="2"/>
      <scheme val="minor"/>
    </font>
    <font>
      <i/>
      <sz val="10"/>
      <color rgb="FF666666"/>
      <name val="Arial"/>
      <family val="2"/>
      <scheme val="minor"/>
    </font>
    <font>
      <sz val="10"/>
      <color rgb="FF000000"/>
      <name val="Courier New"/>
      <family val="1"/>
    </font>
    <font>
      <sz val="9"/>
      <color rgb="FF000000"/>
      <name val="Courier New"/>
      <family val="1"/>
    </font>
    <font>
      <b/>
      <i/>
      <sz val="10"/>
      <color rgb="FFFFFFFF"/>
      <name val="Arial"/>
      <family val="2"/>
      <scheme val="minor"/>
    </font>
    <font>
      <i/>
      <sz val="10"/>
      <color rgb="FF000000"/>
      <name val="Arial"/>
      <family val="2"/>
      <scheme val="minor"/>
    </font>
    <font>
      <b/>
      <i/>
      <sz val="10"/>
      <color rgb="FF000000"/>
      <name val="Arial"/>
      <family val="2"/>
      <scheme val="minor"/>
    </font>
    <font>
      <i/>
      <sz val="10"/>
      <color rgb="FF1565C0"/>
      <name val="Arial"/>
      <family val="2"/>
      <scheme val="minor"/>
    </font>
    <font>
      <b/>
      <sz val="10"/>
      <color rgb="FF1565C0"/>
      <name val="Arial"/>
      <family val="2"/>
      <scheme val="minor"/>
    </font>
  </fonts>
  <fills count="26">
    <fill>
      <patternFill patternType="none"/>
    </fill>
    <fill>
      <patternFill patternType="gray125"/>
    </fill>
    <fill>
      <patternFill patternType="solid">
        <fgColor rgb="FFD8D8D8"/>
        <bgColor rgb="FFD8D8D8"/>
      </patternFill>
    </fill>
    <fill>
      <patternFill patternType="solid">
        <fgColor rgb="FFD9F1F3"/>
        <bgColor rgb="FFD9F1F3"/>
      </patternFill>
    </fill>
    <fill>
      <patternFill patternType="solid">
        <fgColor rgb="FFFEE1CC"/>
        <bgColor rgb="FFFEE1CC"/>
      </patternFill>
    </fill>
    <fill>
      <patternFill patternType="solid">
        <fgColor rgb="FFD2F1DA"/>
        <bgColor rgb="FFD2F1DA"/>
      </patternFill>
    </fill>
    <fill>
      <patternFill patternType="solid">
        <fgColor rgb="FFD9E6FC"/>
        <bgColor rgb="FFD9E6FC"/>
      </patternFill>
    </fill>
    <fill>
      <patternFill patternType="solid">
        <fgColor rgb="FFFEF1CC"/>
        <bgColor rgb="FFFEF1CC"/>
      </patternFill>
    </fill>
    <fill>
      <patternFill patternType="solid">
        <fgColor rgb="FFFAD9D6"/>
        <bgColor rgb="FFFAD9D6"/>
      </patternFill>
    </fill>
    <fill>
      <patternFill patternType="solid">
        <fgColor rgb="FFB4E4E8"/>
        <bgColor rgb="FFB4E4E8"/>
      </patternFill>
    </fill>
    <fill>
      <patternFill patternType="solid">
        <fgColor rgb="FFFFC499"/>
        <bgColor rgb="FFFFC499"/>
      </patternFill>
    </fill>
    <fill>
      <patternFill patternType="solid">
        <fgColor rgb="FFA6E3B6"/>
        <bgColor rgb="FFA6E3B6"/>
      </patternFill>
    </fill>
    <fill>
      <patternFill patternType="solid">
        <fgColor rgb="FFD8D8D8"/>
        <bgColor indexed="64"/>
      </patternFill>
    </fill>
    <fill>
      <patternFill patternType="solid">
        <fgColor rgb="FFD9F1F3"/>
        <bgColor indexed="64"/>
      </patternFill>
    </fill>
    <fill>
      <patternFill patternType="solid">
        <fgColor rgb="FFFF6B6B"/>
        <bgColor indexed="64"/>
      </patternFill>
    </fill>
    <fill>
      <patternFill patternType="solid">
        <fgColor rgb="FF4CAF50"/>
        <bgColor indexed="64"/>
      </patternFill>
    </fill>
    <fill>
      <patternFill patternType="solid">
        <fgColor rgb="FFFFFF99"/>
        <bgColor indexed="64"/>
      </patternFill>
    </fill>
    <fill>
      <patternFill patternType="solid">
        <fgColor rgb="FFE3F2FD"/>
        <bgColor indexed="64"/>
      </patternFill>
    </fill>
    <fill>
      <patternFill patternType="solid">
        <fgColor rgb="FFFFF3E0"/>
        <bgColor indexed="64"/>
      </patternFill>
    </fill>
    <fill>
      <patternFill patternType="solid">
        <fgColor rgb="FF3F51B5"/>
        <bgColor indexed="64"/>
      </patternFill>
    </fill>
    <fill>
      <patternFill patternType="solid">
        <fgColor rgb="FFFFF9C4"/>
        <bgColor indexed="64"/>
      </patternFill>
    </fill>
    <fill>
      <patternFill patternType="solid">
        <fgColor rgb="FFE8EAF6"/>
        <bgColor indexed="64"/>
      </patternFill>
    </fill>
    <fill>
      <patternFill patternType="solid">
        <fgColor rgb="FFE8F5E9"/>
        <bgColor indexed="64"/>
      </patternFill>
    </fill>
    <fill>
      <patternFill patternType="solid">
        <fgColor rgb="FFFFEBEE"/>
        <bgColor indexed="64"/>
      </patternFill>
    </fill>
    <fill>
      <patternFill patternType="solid">
        <fgColor rgb="FFA5D6A7"/>
        <bgColor indexed="64"/>
      </patternFill>
    </fill>
    <fill>
      <patternFill patternType="solid">
        <fgColor rgb="FFC8E6C9"/>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s>
  <cellStyleXfs count="1">
    <xf numFmtId="0" fontId="0" fillId="0" borderId="0"/>
  </cellStyleXfs>
  <cellXfs count="117">
    <xf numFmtId="0" fontId="0" fillId="0" borderId="0" xfId="0"/>
    <xf numFmtId="0" fontId="1" fillId="2" borderId="1" xfId="0" applyFont="1" applyFill="1" applyBorder="1" applyAlignment="1">
      <alignment wrapText="1"/>
    </xf>
    <xf numFmtId="0" fontId="1" fillId="3" borderId="1" xfId="0" applyFont="1" applyFill="1" applyBorder="1" applyAlignment="1">
      <alignment vertical="center" wrapText="1"/>
    </xf>
    <xf numFmtId="0" fontId="2" fillId="3" borderId="3" xfId="0" applyFont="1" applyFill="1" applyBorder="1" applyAlignment="1">
      <alignment vertical="center" wrapText="1"/>
    </xf>
    <xf numFmtId="0" fontId="2" fillId="3" borderId="3"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1" xfId="0" applyFont="1" applyFill="1" applyBorder="1" applyAlignment="1">
      <alignment horizontal="center" vertical="center" wrapText="1"/>
    </xf>
    <xf numFmtId="0" fontId="1" fillId="4" borderId="1" xfId="0" applyFont="1" applyFill="1" applyBorder="1" applyAlignment="1">
      <alignment vertical="center" wrapText="1"/>
    </xf>
    <xf numFmtId="0" fontId="2" fillId="4" borderId="1" xfId="0" applyFont="1" applyFill="1" applyBorder="1" applyAlignment="1">
      <alignment vertical="center" wrapText="1"/>
    </xf>
    <xf numFmtId="0" fontId="2" fillId="4" borderId="1" xfId="0" applyFont="1" applyFill="1" applyBorder="1" applyAlignment="1">
      <alignment horizontal="center" vertical="center" wrapText="1"/>
    </xf>
    <xf numFmtId="0" fontId="1" fillId="5" borderId="1" xfId="0" applyFont="1" applyFill="1" applyBorder="1" applyAlignment="1">
      <alignment vertical="center" wrapText="1"/>
    </xf>
    <xf numFmtId="0" fontId="2" fillId="5" borderId="1" xfId="0" applyFont="1" applyFill="1" applyBorder="1" applyAlignment="1">
      <alignment vertical="center" wrapText="1"/>
    </xf>
    <xf numFmtId="0" fontId="2" fillId="5" borderId="1" xfId="0" applyFont="1" applyFill="1" applyBorder="1" applyAlignment="1">
      <alignment horizontal="center" vertical="center" wrapText="1"/>
    </xf>
    <xf numFmtId="0" fontId="1" fillId="5" borderId="3" xfId="0" applyFont="1" applyFill="1" applyBorder="1" applyAlignment="1">
      <alignment horizontal="left" vertical="center" wrapText="1"/>
    </xf>
    <xf numFmtId="0" fontId="1" fillId="6" borderId="1" xfId="0" applyFont="1" applyFill="1" applyBorder="1" applyAlignment="1">
      <alignment vertical="center" wrapText="1"/>
    </xf>
    <xf numFmtId="0" fontId="2" fillId="6" borderId="1" xfId="0" applyFont="1" applyFill="1" applyBorder="1" applyAlignment="1">
      <alignment vertical="center" wrapText="1"/>
    </xf>
    <xf numFmtId="0" fontId="2" fillId="6" borderId="1" xfId="0" applyFont="1" applyFill="1" applyBorder="1" applyAlignment="1">
      <alignment horizontal="center" vertical="center" wrapText="1"/>
    </xf>
    <xf numFmtId="0" fontId="1" fillId="7" borderId="1" xfId="0" applyFont="1" applyFill="1" applyBorder="1" applyAlignment="1">
      <alignment vertical="center" wrapText="1"/>
    </xf>
    <xf numFmtId="0" fontId="2" fillId="7" borderId="1" xfId="0" applyFont="1" applyFill="1" applyBorder="1" applyAlignment="1">
      <alignment vertical="center" wrapText="1"/>
    </xf>
    <xf numFmtId="0" fontId="2" fillId="7" borderId="1" xfId="0" applyFont="1" applyFill="1" applyBorder="1" applyAlignment="1">
      <alignment horizontal="center" vertical="center" wrapText="1"/>
    </xf>
    <xf numFmtId="0" fontId="1" fillId="8" borderId="1" xfId="0" applyFont="1" applyFill="1" applyBorder="1" applyAlignment="1">
      <alignment vertical="center" wrapText="1"/>
    </xf>
    <xf numFmtId="0" fontId="2" fillId="8" borderId="1" xfId="0" applyFont="1" applyFill="1" applyBorder="1" applyAlignment="1">
      <alignment vertical="center" wrapText="1"/>
    </xf>
    <xf numFmtId="0" fontId="2" fillId="8" borderId="1" xfId="0" applyFont="1" applyFill="1" applyBorder="1" applyAlignment="1">
      <alignment horizontal="center" vertical="center" wrapText="1"/>
    </xf>
    <xf numFmtId="0" fontId="1" fillId="9" borderId="1" xfId="0" applyFont="1" applyFill="1" applyBorder="1" applyAlignment="1">
      <alignment vertical="center" wrapText="1"/>
    </xf>
    <xf numFmtId="0" fontId="2" fillId="9" borderId="1" xfId="0" applyFont="1" applyFill="1" applyBorder="1" applyAlignment="1">
      <alignment vertical="center" wrapText="1"/>
    </xf>
    <xf numFmtId="0" fontId="2" fillId="9" borderId="1" xfId="0" applyFont="1" applyFill="1" applyBorder="1" applyAlignment="1">
      <alignment horizontal="center" vertical="center" wrapText="1"/>
    </xf>
    <xf numFmtId="0" fontId="1" fillId="10" borderId="1" xfId="0" applyFont="1" applyFill="1" applyBorder="1" applyAlignment="1">
      <alignment vertical="center"/>
    </xf>
    <xf numFmtId="0" fontId="2" fillId="10" borderId="1" xfId="0" applyFont="1" applyFill="1" applyBorder="1" applyAlignment="1">
      <alignment vertical="center" wrapText="1"/>
    </xf>
    <xf numFmtId="0" fontId="2" fillId="10" borderId="1" xfId="0" applyFont="1" applyFill="1" applyBorder="1" applyAlignment="1">
      <alignment horizontal="center" vertical="center"/>
    </xf>
    <xf numFmtId="0" fontId="2" fillId="0" borderId="0" xfId="0" applyFont="1" applyAlignment="1">
      <alignment wrapText="1"/>
    </xf>
    <xf numFmtId="164" fontId="4" fillId="0" borderId="0" xfId="0" applyNumberFormat="1" applyFont="1" applyAlignment="1">
      <alignment horizontal="center"/>
    </xf>
    <xf numFmtId="0" fontId="2" fillId="0" borderId="0" xfId="0" applyFont="1"/>
    <xf numFmtId="0" fontId="4" fillId="0" borderId="0" xfId="0" applyFont="1"/>
    <xf numFmtId="0" fontId="4" fillId="0" borderId="0" xfId="0" applyFont="1" applyAlignment="1">
      <alignment wrapText="1"/>
    </xf>
    <xf numFmtId="0" fontId="1" fillId="11" borderId="1" xfId="0" applyFont="1" applyFill="1" applyBorder="1" applyAlignment="1">
      <alignment wrapText="1"/>
    </xf>
    <xf numFmtId="0" fontId="5" fillId="11" borderId="1" xfId="0" applyFont="1" applyFill="1" applyBorder="1" applyAlignment="1">
      <alignment wrapText="1"/>
    </xf>
    <xf numFmtId="0" fontId="2" fillId="5" borderId="1" xfId="0" applyFont="1" applyFill="1" applyBorder="1"/>
    <xf numFmtId="165"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167" fontId="6" fillId="5" borderId="1" xfId="0" applyNumberFormat="1" applyFont="1" applyFill="1" applyBorder="1" applyAlignment="1">
      <alignment horizontal="center"/>
    </xf>
    <xf numFmtId="168" fontId="6" fillId="5" borderId="1" xfId="0" applyNumberFormat="1" applyFont="1" applyFill="1" applyBorder="1" applyAlignment="1">
      <alignment horizontal="center"/>
    </xf>
    <xf numFmtId="0" fontId="2" fillId="5" borderId="1" xfId="0" applyFont="1" applyFill="1" applyBorder="1" applyAlignment="1">
      <alignment horizontal="center"/>
    </xf>
    <xf numFmtId="166" fontId="6" fillId="0" borderId="0" xfId="0" applyNumberFormat="1" applyFont="1" applyAlignment="1">
      <alignment horizontal="center"/>
    </xf>
    <xf numFmtId="0" fontId="2" fillId="0" borderId="0" xfId="0" applyFont="1" applyAlignment="1">
      <alignment horizontal="center"/>
    </xf>
    <xf numFmtId="0" fontId="5" fillId="3" borderId="1" xfId="0" applyFont="1" applyFill="1" applyBorder="1"/>
    <xf numFmtId="0" fontId="5" fillId="3" borderId="1" xfId="0" applyFont="1" applyFill="1" applyBorder="1" applyAlignment="1">
      <alignment wrapText="1"/>
    </xf>
    <xf numFmtId="0" fontId="6" fillId="3" borderId="1" xfId="0" applyFont="1" applyFill="1" applyBorder="1"/>
    <xf numFmtId="0" fontId="6" fillId="3" borderId="1" xfId="0" applyFont="1" applyFill="1" applyBorder="1" applyAlignment="1">
      <alignment wrapText="1"/>
    </xf>
    <xf numFmtId="0" fontId="2" fillId="7" borderId="5" xfId="0" applyFont="1" applyFill="1" applyBorder="1" applyAlignment="1">
      <alignment horizontal="left" vertical="center" wrapText="1"/>
    </xf>
    <xf numFmtId="0" fontId="3" fillId="0" borderId="4" xfId="0" applyFont="1" applyBorder="1"/>
    <xf numFmtId="0" fontId="3" fillId="0" borderId="6" xfId="0" applyFont="1" applyBorder="1"/>
    <xf numFmtId="0" fontId="2" fillId="8" borderId="5" xfId="0" applyFont="1" applyFill="1" applyBorder="1" applyAlignment="1">
      <alignment horizontal="left" vertical="center" wrapText="1"/>
    </xf>
    <xf numFmtId="0" fontId="2" fillId="9" borderId="5" xfId="0" applyFont="1" applyFill="1" applyBorder="1" applyAlignment="1">
      <alignment horizontal="left" vertical="center" wrapText="1"/>
    </xf>
    <xf numFmtId="0" fontId="1" fillId="9" borderId="5" xfId="0" applyFont="1" applyFill="1" applyBorder="1" applyAlignment="1">
      <alignment horizontal="left" vertical="center" wrapText="1"/>
    </xf>
    <xf numFmtId="0" fontId="2" fillId="10" borderId="5" xfId="0" applyFont="1" applyFill="1" applyBorder="1" applyAlignment="1">
      <alignment horizontal="left" vertical="center"/>
    </xf>
    <xf numFmtId="0" fontId="2" fillId="3" borderId="2" xfId="0" applyFont="1" applyFill="1" applyBorder="1" applyAlignment="1">
      <alignment horizontal="left" vertical="center" wrapText="1"/>
    </xf>
    <xf numFmtId="0" fontId="1" fillId="3" borderId="5"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5" borderId="5" xfId="0" applyFont="1" applyFill="1" applyBorder="1" applyAlignment="1">
      <alignment horizontal="left" vertical="center" wrapText="1"/>
    </xf>
    <xf numFmtId="0" fontId="1" fillId="5" borderId="5" xfId="0" applyFont="1" applyFill="1" applyBorder="1" applyAlignment="1">
      <alignment horizontal="left" vertical="center" wrapText="1"/>
    </xf>
    <xf numFmtId="0" fontId="2" fillId="6" borderId="5" xfId="0" applyFont="1" applyFill="1" applyBorder="1" applyAlignment="1">
      <alignment horizontal="left" vertical="center" wrapText="1"/>
    </xf>
    <xf numFmtId="0" fontId="1" fillId="7" borderId="5" xfId="0" applyFont="1" applyFill="1" applyBorder="1" applyAlignment="1">
      <alignment horizontal="left" vertical="center" wrapText="1"/>
    </xf>
    <xf numFmtId="0" fontId="8" fillId="0" borderId="0" xfId="0" applyFont="1"/>
    <xf numFmtId="0" fontId="8" fillId="12" borderId="0" xfId="0" applyFont="1" applyFill="1"/>
    <xf numFmtId="14" fontId="0" fillId="0" borderId="0" xfId="0" applyNumberFormat="1"/>
    <xf numFmtId="0" fontId="9" fillId="13" borderId="7" xfId="0" applyFont="1" applyFill="1" applyBorder="1"/>
    <xf numFmtId="0" fontId="7" fillId="13" borderId="7" xfId="0" applyFont="1" applyFill="1" applyBorder="1" applyAlignment="1">
      <alignment wrapText="1"/>
    </xf>
    <xf numFmtId="0" fontId="7" fillId="13" borderId="0" xfId="0" applyFont="1" applyFill="1" applyBorder="1" applyAlignment="1">
      <alignment wrapText="1"/>
    </xf>
    <xf numFmtId="0" fontId="10" fillId="14" borderId="0" xfId="0" applyFont="1" applyFill="1"/>
    <xf numFmtId="0" fontId="10" fillId="15" borderId="0" xfId="0" applyFont="1" applyFill="1"/>
    <xf numFmtId="0" fontId="0" fillId="15" borderId="0" xfId="0" applyFill="1"/>
    <xf numFmtId="14" fontId="0" fillId="16" borderId="0" xfId="0" applyNumberFormat="1" applyFill="1"/>
    <xf numFmtId="0" fontId="11" fillId="0" borderId="0" xfId="0" applyFont="1"/>
    <xf numFmtId="0" fontId="0" fillId="16" borderId="0" xfId="0" applyFill="1"/>
    <xf numFmtId="0" fontId="8" fillId="17" borderId="0" xfId="0" applyFont="1" applyFill="1"/>
    <xf numFmtId="0" fontId="0" fillId="17" borderId="0" xfId="0" applyFill="1"/>
    <xf numFmtId="14" fontId="6" fillId="5" borderId="1" xfId="0" applyNumberFormat="1" applyFont="1" applyFill="1" applyBorder="1" applyAlignment="1">
      <alignment horizontal="center"/>
    </xf>
    <xf numFmtId="0" fontId="8" fillId="18" borderId="0" xfId="0" applyFont="1" applyFill="1"/>
    <xf numFmtId="0" fontId="0" fillId="18" borderId="0" xfId="0" applyFill="1"/>
    <xf numFmtId="0" fontId="11" fillId="18" borderId="0" xfId="0" applyFont="1" applyFill="1"/>
    <xf numFmtId="49" fontId="12" fillId="17" borderId="0" xfId="0" quotePrefix="1" applyNumberFormat="1" applyFont="1" applyFill="1"/>
    <xf numFmtId="49" fontId="13" fillId="18" borderId="0" xfId="0" applyNumberFormat="1" applyFont="1" applyFill="1"/>
    <xf numFmtId="0" fontId="10" fillId="19" borderId="0" xfId="0" applyFont="1" applyFill="1"/>
    <xf numFmtId="0" fontId="0" fillId="19" borderId="0" xfId="0" applyFill="1"/>
    <xf numFmtId="0" fontId="8" fillId="20" borderId="0" xfId="0" applyFont="1" applyFill="1"/>
    <xf numFmtId="0" fontId="0" fillId="20" borderId="0" xfId="0" applyFill="1"/>
    <xf numFmtId="0" fontId="8" fillId="16" borderId="0" xfId="0" applyFont="1" applyFill="1"/>
    <xf numFmtId="0" fontId="14" fillId="19" borderId="0" xfId="0" applyFont="1" applyFill="1" applyAlignment="1">
      <alignment horizontal="center"/>
    </xf>
    <xf numFmtId="0" fontId="10" fillId="19" borderId="0" xfId="0" applyFont="1" applyFill="1" applyAlignment="1">
      <alignment horizontal="center"/>
    </xf>
    <xf numFmtId="0" fontId="8" fillId="21" borderId="0" xfId="0" applyFont="1" applyFill="1"/>
    <xf numFmtId="0" fontId="0" fillId="21" borderId="0" xfId="0" applyFill="1"/>
    <xf numFmtId="0" fontId="0" fillId="21" borderId="0" xfId="0" applyFill="1" applyAlignment="1">
      <alignment horizontal="center"/>
    </xf>
    <xf numFmtId="0" fontId="0" fillId="17" borderId="0" xfId="0" applyFill="1" applyAlignment="1">
      <alignment horizontal="center"/>
    </xf>
    <xf numFmtId="0" fontId="8" fillId="22" borderId="0" xfId="0" applyFont="1" applyFill="1"/>
    <xf numFmtId="0" fontId="0" fillId="22" borderId="0" xfId="0" applyFill="1"/>
    <xf numFmtId="0" fontId="0" fillId="22" borderId="0" xfId="0" applyFill="1" applyAlignment="1">
      <alignment horizontal="center"/>
    </xf>
    <xf numFmtId="0" fontId="0" fillId="18" borderId="0" xfId="0" applyFill="1" applyAlignment="1">
      <alignment horizontal="center"/>
    </xf>
    <xf numFmtId="0" fontId="8" fillId="23" borderId="0" xfId="0" applyFont="1" applyFill="1"/>
    <xf numFmtId="0" fontId="0" fillId="23" borderId="0" xfId="0" applyFill="1"/>
    <xf numFmtId="0" fontId="0" fillId="23" borderId="0" xfId="0" applyFill="1" applyAlignment="1">
      <alignment horizontal="center"/>
    </xf>
    <xf numFmtId="0" fontId="15" fillId="0" borderId="0" xfId="0" applyFont="1"/>
    <xf numFmtId="169" fontId="0" fillId="0" borderId="0" xfId="0" applyNumberFormat="1"/>
    <xf numFmtId="169" fontId="0" fillId="21" borderId="0" xfId="0" applyNumberFormat="1" applyFill="1" applyAlignment="1">
      <alignment horizontal="center"/>
    </xf>
    <xf numFmtId="169" fontId="0" fillId="17" borderId="0" xfId="0" applyNumberFormat="1" applyFill="1" applyAlignment="1">
      <alignment horizontal="center"/>
    </xf>
    <xf numFmtId="169" fontId="0" fillId="22" borderId="0" xfId="0" applyNumberFormat="1" applyFill="1" applyAlignment="1">
      <alignment horizontal="center"/>
    </xf>
    <xf numFmtId="169" fontId="0" fillId="18" borderId="0" xfId="0" applyNumberFormat="1" applyFill="1" applyAlignment="1">
      <alignment horizontal="center"/>
    </xf>
    <xf numFmtId="169" fontId="0" fillId="23" borderId="0" xfId="0" applyNumberFormat="1" applyFill="1" applyAlignment="1">
      <alignment horizontal="center"/>
    </xf>
    <xf numFmtId="165" fontId="0" fillId="0" borderId="0" xfId="0" applyNumberFormat="1"/>
    <xf numFmtId="0" fontId="16" fillId="24" borderId="0" xfId="0" applyFont="1" applyFill="1"/>
    <xf numFmtId="0" fontId="8" fillId="24" borderId="0" xfId="0" applyFont="1" applyFill="1"/>
    <xf numFmtId="0" fontId="8" fillId="24" borderId="0" xfId="0" applyFont="1" applyFill="1" applyAlignment="1">
      <alignment horizontal="center"/>
    </xf>
    <xf numFmtId="0" fontId="15" fillId="22" borderId="0" xfId="0" applyFont="1" applyFill="1"/>
    <xf numFmtId="0" fontId="16" fillId="25" borderId="0" xfId="0" applyFont="1" applyFill="1"/>
    <xf numFmtId="0" fontId="0" fillId="25" borderId="0" xfId="0" applyFill="1"/>
    <xf numFmtId="0" fontId="17" fillId="0" borderId="0" xfId="0" applyFont="1"/>
    <xf numFmtId="0" fontId="18" fillId="22" borderId="0" xfId="0" applyFont="1" applyFill="1"/>
    <xf numFmtId="166" fontId="0" fillId="22" borderId="0" xfId="0" applyNumberForma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31B8676-349B-384A-95D3-E18E290F4ACD}">
  <we:reference id="wa200009404" version="1.0.0.4" store="en-US" storeType="OMEX"/>
  <we:alternateReferences>
    <we:reference id="WA200009404" version="1.0.0.4"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workbookViewId="0"/>
  </sheetViews>
  <sheetFormatPr baseColWidth="10" defaultColWidth="12.6640625" defaultRowHeight="15" customHeight="1" x14ac:dyDescent="0.15"/>
  <cols>
    <col min="1" max="1" width="14.1640625" customWidth="1"/>
    <col min="2" max="2" width="26.33203125" customWidth="1"/>
    <col min="3" max="3" width="79.33203125" customWidth="1"/>
    <col min="4" max="6" width="12.6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55" t="s">
        <v>8</v>
      </c>
      <c r="B2" s="2" t="s">
        <v>9</v>
      </c>
      <c r="C2" s="3" t="s">
        <v>10</v>
      </c>
      <c r="D2" s="4" t="s">
        <v>11</v>
      </c>
      <c r="E2" s="4" t="s">
        <v>11</v>
      </c>
      <c r="F2" s="4" t="s">
        <v>12</v>
      </c>
      <c r="G2" s="4" t="s">
        <v>13</v>
      </c>
      <c r="H2" s="4" t="s">
        <v>13</v>
      </c>
    </row>
    <row r="3" spans="1:8" ht="15.75" customHeight="1" x14ac:dyDescent="0.15">
      <c r="A3" s="49"/>
      <c r="B3" s="2" t="s">
        <v>14</v>
      </c>
      <c r="C3" s="5" t="s">
        <v>15</v>
      </c>
      <c r="D3" s="6" t="s">
        <v>11</v>
      </c>
      <c r="E3" s="4" t="s">
        <v>11</v>
      </c>
      <c r="F3" s="4" t="s">
        <v>12</v>
      </c>
      <c r="G3" s="6" t="s">
        <v>13</v>
      </c>
      <c r="H3" s="6" t="s">
        <v>13</v>
      </c>
    </row>
    <row r="4" spans="1:8" ht="15.75" customHeight="1" x14ac:dyDescent="0.15">
      <c r="A4" s="49"/>
      <c r="B4" s="2" t="s">
        <v>16</v>
      </c>
      <c r="C4" s="5" t="s">
        <v>17</v>
      </c>
      <c r="D4" s="6" t="s">
        <v>11</v>
      </c>
      <c r="E4" s="4" t="s">
        <v>11</v>
      </c>
      <c r="F4" s="4" t="s">
        <v>12</v>
      </c>
      <c r="G4" s="6" t="s">
        <v>13</v>
      </c>
      <c r="H4" s="6" t="s">
        <v>13</v>
      </c>
    </row>
    <row r="5" spans="1:8" ht="15.75" customHeight="1" x14ac:dyDescent="0.15">
      <c r="A5" s="49"/>
      <c r="B5" s="56" t="s">
        <v>18</v>
      </c>
      <c r="C5" s="5" t="s">
        <v>19</v>
      </c>
      <c r="D5" s="6" t="s">
        <v>11</v>
      </c>
      <c r="E5" s="4" t="s">
        <v>11</v>
      </c>
      <c r="F5" s="4" t="s">
        <v>12</v>
      </c>
      <c r="G5" s="6" t="s">
        <v>13</v>
      </c>
      <c r="H5" s="6" t="s">
        <v>13</v>
      </c>
    </row>
    <row r="6" spans="1:8" ht="15.75" customHeight="1" x14ac:dyDescent="0.15">
      <c r="A6" s="49"/>
      <c r="B6" s="50"/>
      <c r="C6" s="5" t="s">
        <v>20</v>
      </c>
      <c r="D6" s="6" t="s">
        <v>11</v>
      </c>
      <c r="E6" s="4" t="s">
        <v>11</v>
      </c>
      <c r="F6" s="4" t="s">
        <v>12</v>
      </c>
      <c r="G6" s="6" t="s">
        <v>13</v>
      </c>
      <c r="H6" s="6" t="s">
        <v>13</v>
      </c>
    </row>
    <row r="7" spans="1:8" ht="15.75" customHeight="1" x14ac:dyDescent="0.15">
      <c r="A7" s="50"/>
      <c r="B7" s="2" t="s">
        <v>21</v>
      </c>
      <c r="C7" s="5" t="s">
        <v>22</v>
      </c>
      <c r="D7" s="6" t="s">
        <v>11</v>
      </c>
      <c r="E7" s="4" t="s">
        <v>11</v>
      </c>
      <c r="F7" s="4" t="s">
        <v>12</v>
      </c>
      <c r="G7" s="6" t="s">
        <v>13</v>
      </c>
      <c r="H7" s="6" t="s">
        <v>13</v>
      </c>
    </row>
    <row r="8" spans="1:8" ht="15.75" customHeight="1" x14ac:dyDescent="0.15">
      <c r="A8" s="57" t="s">
        <v>23</v>
      </c>
      <c r="B8" s="7" t="s">
        <v>24</v>
      </c>
      <c r="C8" s="8" t="s">
        <v>25</v>
      </c>
      <c r="D8" s="9" t="s">
        <v>8</v>
      </c>
      <c r="E8" s="9" t="s">
        <v>11</v>
      </c>
      <c r="F8" s="9" t="s">
        <v>12</v>
      </c>
      <c r="G8" s="9" t="s">
        <v>13</v>
      </c>
      <c r="H8" s="9" t="s">
        <v>13</v>
      </c>
    </row>
    <row r="9" spans="1:8" ht="15.75" customHeight="1" x14ac:dyDescent="0.15">
      <c r="A9" s="49"/>
      <c r="B9" s="7" t="s">
        <v>26</v>
      </c>
      <c r="C9" s="8" t="s">
        <v>27</v>
      </c>
      <c r="D9" s="9" t="s">
        <v>8</v>
      </c>
      <c r="E9" s="9" t="s">
        <v>11</v>
      </c>
      <c r="F9" s="9" t="s">
        <v>12</v>
      </c>
      <c r="G9" s="9" t="s">
        <v>13</v>
      </c>
      <c r="H9" s="9" t="s">
        <v>13</v>
      </c>
    </row>
    <row r="10" spans="1:8" ht="30" customHeight="1" x14ac:dyDescent="0.15">
      <c r="A10" s="49"/>
      <c r="B10" s="7" t="s">
        <v>28</v>
      </c>
      <c r="C10" s="8" t="s">
        <v>29</v>
      </c>
      <c r="D10" s="9" t="s">
        <v>8</v>
      </c>
      <c r="E10" s="9" t="s">
        <v>11</v>
      </c>
      <c r="F10" s="9" t="s">
        <v>12</v>
      </c>
      <c r="G10" s="9" t="s">
        <v>13</v>
      </c>
      <c r="H10" s="9" t="s">
        <v>13</v>
      </c>
    </row>
    <row r="11" spans="1:8" ht="15.75" customHeight="1" x14ac:dyDescent="0.15">
      <c r="A11" s="49"/>
      <c r="B11" s="7" t="s">
        <v>30</v>
      </c>
      <c r="C11" s="8" t="s">
        <v>31</v>
      </c>
      <c r="D11" s="9" t="s">
        <v>8</v>
      </c>
      <c r="E11" s="9" t="s">
        <v>11</v>
      </c>
      <c r="F11" s="9" t="s">
        <v>12</v>
      </c>
      <c r="G11" s="9" t="s">
        <v>13</v>
      </c>
      <c r="H11" s="9" t="s">
        <v>13</v>
      </c>
    </row>
    <row r="12" spans="1:8" ht="15.75" customHeight="1" x14ac:dyDescent="0.15">
      <c r="A12" s="49"/>
      <c r="B12" s="7" t="s">
        <v>21</v>
      </c>
      <c r="C12" s="8" t="s">
        <v>32</v>
      </c>
      <c r="D12" s="9" t="s">
        <v>8</v>
      </c>
      <c r="E12" s="9" t="s">
        <v>11</v>
      </c>
      <c r="F12" s="9" t="s">
        <v>12</v>
      </c>
      <c r="G12" s="9" t="s">
        <v>13</v>
      </c>
      <c r="H12" s="9" t="s">
        <v>13</v>
      </c>
    </row>
    <row r="13" spans="1:8" ht="15.75" customHeight="1" x14ac:dyDescent="0.15">
      <c r="A13" s="50"/>
      <c r="B13" s="7" t="s">
        <v>33</v>
      </c>
      <c r="C13" s="8" t="s">
        <v>34</v>
      </c>
      <c r="D13" s="9" t="s">
        <v>8</v>
      </c>
      <c r="E13" s="9" t="s">
        <v>11</v>
      </c>
      <c r="F13" s="9" t="s">
        <v>12</v>
      </c>
      <c r="G13" s="9" t="s">
        <v>13</v>
      </c>
      <c r="H13" s="9" t="s">
        <v>13</v>
      </c>
    </row>
    <row r="14" spans="1:8" ht="15.75" customHeight="1" x14ac:dyDescent="0.15">
      <c r="A14" s="58" t="s">
        <v>35</v>
      </c>
      <c r="B14" s="10" t="s">
        <v>36</v>
      </c>
      <c r="C14" s="11" t="s">
        <v>37</v>
      </c>
      <c r="D14" s="12" t="s">
        <v>23</v>
      </c>
      <c r="E14" s="12" t="s">
        <v>11</v>
      </c>
      <c r="F14" s="12" t="s">
        <v>12</v>
      </c>
      <c r="G14" s="12" t="s">
        <v>13</v>
      </c>
      <c r="H14" s="12" t="s">
        <v>13</v>
      </c>
    </row>
    <row r="15" spans="1:8" ht="15.75" customHeight="1" x14ac:dyDescent="0.15">
      <c r="A15" s="49"/>
      <c r="B15" s="10" t="s">
        <v>38</v>
      </c>
      <c r="C15" s="11" t="s">
        <v>39</v>
      </c>
      <c r="D15" s="12" t="s">
        <v>23</v>
      </c>
      <c r="E15" s="12" t="s">
        <v>11</v>
      </c>
      <c r="F15" s="12" t="s">
        <v>12</v>
      </c>
      <c r="G15" s="12" t="s">
        <v>13</v>
      </c>
      <c r="H15" s="12" t="s">
        <v>13</v>
      </c>
    </row>
    <row r="16" spans="1:8" ht="27" customHeight="1" x14ac:dyDescent="0.15">
      <c r="A16" s="49"/>
      <c r="B16" s="59" t="s">
        <v>24</v>
      </c>
      <c r="C16" s="11" t="s">
        <v>40</v>
      </c>
      <c r="D16" s="12" t="s">
        <v>23</v>
      </c>
      <c r="E16" s="12" t="s">
        <v>11</v>
      </c>
      <c r="F16" s="12" t="s">
        <v>12</v>
      </c>
      <c r="G16" s="12" t="s">
        <v>13</v>
      </c>
      <c r="H16" s="12" t="s">
        <v>13</v>
      </c>
    </row>
    <row r="17" spans="1:8" ht="15.75" customHeight="1" x14ac:dyDescent="0.15">
      <c r="A17" s="49"/>
      <c r="B17" s="49"/>
      <c r="C17" s="11" t="s">
        <v>41</v>
      </c>
      <c r="D17" s="12" t="s">
        <v>23</v>
      </c>
      <c r="E17" s="12" t="s">
        <v>11</v>
      </c>
      <c r="F17" s="12" t="s">
        <v>12</v>
      </c>
      <c r="G17" s="12" t="s">
        <v>13</v>
      </c>
      <c r="H17" s="12" t="s">
        <v>13</v>
      </c>
    </row>
    <row r="18" spans="1:8" ht="15.75" customHeight="1" x14ac:dyDescent="0.15">
      <c r="A18" s="49"/>
      <c r="B18" s="49"/>
      <c r="C18" s="11" t="s">
        <v>42</v>
      </c>
      <c r="D18" s="12" t="s">
        <v>23</v>
      </c>
      <c r="E18" s="12" t="s">
        <v>11</v>
      </c>
      <c r="F18" s="12" t="s">
        <v>12</v>
      </c>
      <c r="G18" s="12" t="s">
        <v>13</v>
      </c>
      <c r="H18" s="12" t="s">
        <v>13</v>
      </c>
    </row>
    <row r="19" spans="1:8" ht="15.75" customHeight="1" x14ac:dyDescent="0.15">
      <c r="A19" s="49"/>
      <c r="B19" s="50"/>
      <c r="C19" s="11" t="s">
        <v>43</v>
      </c>
      <c r="D19" s="12" t="s">
        <v>23</v>
      </c>
      <c r="E19" s="12" t="s">
        <v>11</v>
      </c>
      <c r="F19" s="12" t="s">
        <v>12</v>
      </c>
      <c r="G19" s="12" t="s">
        <v>13</v>
      </c>
      <c r="H19" s="12" t="s">
        <v>13</v>
      </c>
    </row>
    <row r="20" spans="1:8" ht="15.75" customHeight="1" x14ac:dyDescent="0.15">
      <c r="A20" s="50"/>
      <c r="B20" s="13" t="s">
        <v>44</v>
      </c>
      <c r="C20" s="11" t="s">
        <v>45</v>
      </c>
      <c r="D20" s="12" t="s">
        <v>23</v>
      </c>
      <c r="E20" s="12" t="s">
        <v>11</v>
      </c>
      <c r="F20" s="12" t="s">
        <v>12</v>
      </c>
      <c r="G20" s="12" t="s">
        <v>13</v>
      </c>
      <c r="H20" s="12" t="s">
        <v>13</v>
      </c>
    </row>
    <row r="21" spans="1:8" ht="15.75" customHeight="1" x14ac:dyDescent="0.15">
      <c r="A21" s="60" t="s">
        <v>46</v>
      </c>
      <c r="B21" s="14" t="s">
        <v>47</v>
      </c>
      <c r="C21" s="15" t="s">
        <v>48</v>
      </c>
      <c r="D21" s="16" t="s">
        <v>8</v>
      </c>
      <c r="E21" s="16" t="s">
        <v>11</v>
      </c>
      <c r="F21" s="16" t="s">
        <v>12</v>
      </c>
      <c r="G21" s="16" t="s">
        <v>13</v>
      </c>
      <c r="H21" s="16" t="s">
        <v>13</v>
      </c>
    </row>
    <row r="22" spans="1:8" ht="15.75" customHeight="1" x14ac:dyDescent="0.15">
      <c r="A22" s="49"/>
      <c r="B22" s="14" t="s">
        <v>49</v>
      </c>
      <c r="C22" s="15" t="s">
        <v>50</v>
      </c>
      <c r="D22" s="16" t="s">
        <v>23</v>
      </c>
      <c r="E22" s="16" t="s">
        <v>11</v>
      </c>
      <c r="F22" s="16" t="s">
        <v>12</v>
      </c>
      <c r="G22" s="16" t="s">
        <v>13</v>
      </c>
      <c r="H22" s="16" t="s">
        <v>13</v>
      </c>
    </row>
    <row r="23" spans="1:8" ht="15.75" customHeight="1" x14ac:dyDescent="0.15">
      <c r="A23" s="49"/>
      <c r="B23" s="14" t="s">
        <v>51</v>
      </c>
      <c r="C23" s="15" t="s">
        <v>52</v>
      </c>
      <c r="D23" s="16" t="s">
        <v>8</v>
      </c>
      <c r="E23" s="16" t="s">
        <v>11</v>
      </c>
      <c r="F23" s="16" t="s">
        <v>12</v>
      </c>
      <c r="G23" s="16" t="s">
        <v>13</v>
      </c>
      <c r="H23" s="16" t="s">
        <v>13</v>
      </c>
    </row>
    <row r="24" spans="1:8" ht="15.75" customHeight="1" x14ac:dyDescent="0.15">
      <c r="A24" s="49"/>
      <c r="B24" s="14" t="s">
        <v>53</v>
      </c>
      <c r="C24" s="15" t="s">
        <v>54</v>
      </c>
      <c r="D24" s="16" t="s">
        <v>8</v>
      </c>
      <c r="E24" s="16" t="s">
        <v>11</v>
      </c>
      <c r="F24" s="16" t="s">
        <v>12</v>
      </c>
      <c r="G24" s="16" t="s">
        <v>13</v>
      </c>
      <c r="H24" s="16" t="s">
        <v>13</v>
      </c>
    </row>
    <row r="25" spans="1:8" ht="15.75" customHeight="1" x14ac:dyDescent="0.15">
      <c r="A25" s="50"/>
      <c r="B25" s="14" t="s">
        <v>55</v>
      </c>
      <c r="C25" s="15" t="s">
        <v>56</v>
      </c>
      <c r="D25" s="16" t="s">
        <v>23</v>
      </c>
      <c r="E25" s="16" t="s">
        <v>11</v>
      </c>
      <c r="F25" s="16" t="s">
        <v>12</v>
      </c>
      <c r="G25" s="16" t="s">
        <v>13</v>
      </c>
      <c r="H25" s="16" t="s">
        <v>13</v>
      </c>
    </row>
    <row r="26" spans="1:8" ht="15.75" customHeight="1" x14ac:dyDescent="0.15">
      <c r="A26" s="48" t="s">
        <v>57</v>
      </c>
      <c r="B26" s="17" t="s">
        <v>58</v>
      </c>
      <c r="C26" s="18" t="s">
        <v>59</v>
      </c>
      <c r="D26" s="19" t="s">
        <v>35</v>
      </c>
      <c r="E26" s="19" t="s">
        <v>11</v>
      </c>
      <c r="F26" s="19" t="s">
        <v>12</v>
      </c>
      <c r="G26" s="19" t="s">
        <v>13</v>
      </c>
      <c r="H26" s="19" t="s">
        <v>13</v>
      </c>
    </row>
    <row r="27" spans="1:8" ht="15.75" customHeight="1" x14ac:dyDescent="0.15">
      <c r="A27" s="49"/>
      <c r="B27" s="61" t="s">
        <v>60</v>
      </c>
      <c r="C27" s="18" t="s">
        <v>61</v>
      </c>
      <c r="D27" s="19" t="s">
        <v>46</v>
      </c>
      <c r="E27" s="19" t="s">
        <v>11</v>
      </c>
      <c r="F27" s="19" t="s">
        <v>12</v>
      </c>
      <c r="G27" s="19" t="s">
        <v>13</v>
      </c>
      <c r="H27" s="19" t="s">
        <v>13</v>
      </c>
    </row>
    <row r="28" spans="1:8" ht="15.75" customHeight="1" x14ac:dyDescent="0.15">
      <c r="A28" s="49"/>
      <c r="B28" s="50"/>
      <c r="C28" s="18" t="s">
        <v>62</v>
      </c>
      <c r="D28" s="19" t="s">
        <v>46</v>
      </c>
      <c r="E28" s="19" t="s">
        <v>11</v>
      </c>
      <c r="F28" s="19" t="s">
        <v>12</v>
      </c>
      <c r="G28" s="19" t="s">
        <v>13</v>
      </c>
      <c r="H28" s="19" t="s">
        <v>13</v>
      </c>
    </row>
    <row r="29" spans="1:8" ht="15.75" customHeight="1" x14ac:dyDescent="0.15">
      <c r="A29" s="50"/>
      <c r="B29" s="17" t="s">
        <v>63</v>
      </c>
      <c r="C29" s="18" t="s">
        <v>64</v>
      </c>
      <c r="D29" s="19" t="s">
        <v>46</v>
      </c>
      <c r="E29" s="19" t="s">
        <v>11</v>
      </c>
      <c r="F29" s="19" t="s">
        <v>12</v>
      </c>
      <c r="G29" s="19" t="s">
        <v>13</v>
      </c>
      <c r="H29" s="19" t="s">
        <v>13</v>
      </c>
    </row>
    <row r="30" spans="1:8" ht="15.75" customHeight="1" x14ac:dyDescent="0.15">
      <c r="A30" s="51" t="s">
        <v>65</v>
      </c>
      <c r="B30" s="20" t="s">
        <v>47</v>
      </c>
      <c r="C30" s="21" t="s">
        <v>66</v>
      </c>
      <c r="D30" s="22" t="s">
        <v>8</v>
      </c>
      <c r="E30" s="22" t="s">
        <v>11</v>
      </c>
      <c r="F30" s="22" t="s">
        <v>12</v>
      </c>
      <c r="G30" s="22" t="s">
        <v>13</v>
      </c>
      <c r="H30" s="22" t="s">
        <v>13</v>
      </c>
    </row>
    <row r="31" spans="1:8" ht="15.75" customHeight="1" x14ac:dyDescent="0.15">
      <c r="A31" s="49"/>
      <c r="B31" s="20" t="s">
        <v>60</v>
      </c>
      <c r="C31" s="21" t="s">
        <v>67</v>
      </c>
      <c r="D31" s="22" t="s">
        <v>46</v>
      </c>
      <c r="E31" s="22" t="s">
        <v>11</v>
      </c>
      <c r="F31" s="22" t="s">
        <v>12</v>
      </c>
      <c r="G31" s="22" t="s">
        <v>13</v>
      </c>
      <c r="H31" s="22" t="s">
        <v>13</v>
      </c>
    </row>
    <row r="32" spans="1:8" ht="15.75" customHeight="1" x14ac:dyDescent="0.15">
      <c r="A32" s="50"/>
      <c r="B32" s="20" t="s">
        <v>68</v>
      </c>
      <c r="C32" s="21" t="s">
        <v>69</v>
      </c>
      <c r="D32" s="22" t="s">
        <v>8</v>
      </c>
      <c r="E32" s="22" t="s">
        <v>11</v>
      </c>
      <c r="F32" s="22" t="s">
        <v>12</v>
      </c>
      <c r="G32" s="22" t="s">
        <v>13</v>
      </c>
      <c r="H32" s="22" t="s">
        <v>13</v>
      </c>
    </row>
    <row r="33" spans="1:8" ht="15.75" customHeight="1" x14ac:dyDescent="0.15">
      <c r="A33" s="52" t="s">
        <v>70</v>
      </c>
      <c r="B33" s="23" t="s">
        <v>71</v>
      </c>
      <c r="C33" s="24" t="s">
        <v>72</v>
      </c>
      <c r="D33" s="25" t="s">
        <v>35</v>
      </c>
      <c r="E33" s="25" t="s">
        <v>11</v>
      </c>
      <c r="F33" s="25" t="s">
        <v>12</v>
      </c>
      <c r="G33" s="25" t="s">
        <v>13</v>
      </c>
      <c r="H33" s="25" t="s">
        <v>13</v>
      </c>
    </row>
    <row r="34" spans="1:8" ht="15.75" customHeight="1" x14ac:dyDescent="0.15">
      <c r="A34" s="49"/>
      <c r="B34" s="53" t="s">
        <v>73</v>
      </c>
      <c r="C34" s="24" t="s">
        <v>74</v>
      </c>
      <c r="D34" s="25" t="s">
        <v>35</v>
      </c>
      <c r="E34" s="25" t="s">
        <v>11</v>
      </c>
      <c r="F34" s="25" t="s">
        <v>12</v>
      </c>
      <c r="G34" s="25" t="s">
        <v>13</v>
      </c>
      <c r="H34" s="25" t="s">
        <v>13</v>
      </c>
    </row>
    <row r="35" spans="1:8" ht="15.75" customHeight="1" x14ac:dyDescent="0.15">
      <c r="A35" s="50"/>
      <c r="B35" s="50"/>
      <c r="C35" s="24" t="s">
        <v>75</v>
      </c>
      <c r="D35" s="25" t="s">
        <v>35</v>
      </c>
      <c r="E35" s="25" t="s">
        <v>11</v>
      </c>
      <c r="F35" s="25" t="s">
        <v>12</v>
      </c>
      <c r="G35" s="25" t="s">
        <v>13</v>
      </c>
      <c r="H35" s="25" t="s">
        <v>13</v>
      </c>
    </row>
    <row r="36" spans="1:8" ht="15.75" customHeight="1" x14ac:dyDescent="0.15">
      <c r="A36" s="54" t="s">
        <v>76</v>
      </c>
      <c r="B36" s="26" t="s">
        <v>77</v>
      </c>
      <c r="C36" s="27" t="s">
        <v>78</v>
      </c>
      <c r="D36" s="28" t="s">
        <v>35</v>
      </c>
      <c r="E36" s="28" t="s">
        <v>11</v>
      </c>
      <c r="F36" s="28" t="s">
        <v>12</v>
      </c>
      <c r="G36" s="28" t="s">
        <v>13</v>
      </c>
      <c r="H36" s="28" t="s">
        <v>13</v>
      </c>
    </row>
    <row r="37" spans="1:8" ht="15.75" customHeight="1" x14ac:dyDescent="0.15">
      <c r="A37" s="50"/>
      <c r="B37" s="26" t="s">
        <v>79</v>
      </c>
      <c r="C37" s="27" t="s">
        <v>80</v>
      </c>
      <c r="D37" s="28" t="s">
        <v>35</v>
      </c>
      <c r="E37" s="28" t="s">
        <v>11</v>
      </c>
      <c r="F37" s="28" t="s">
        <v>12</v>
      </c>
      <c r="G37" s="28" t="s">
        <v>13</v>
      </c>
      <c r="H37" s="28" t="s">
        <v>13</v>
      </c>
    </row>
    <row r="38" spans="1:8" ht="15.75" customHeight="1" x14ac:dyDescent="0.15">
      <c r="C38" s="29"/>
    </row>
    <row r="39" spans="1:8" ht="15.75" customHeight="1" x14ac:dyDescent="0.15">
      <c r="C39" s="29"/>
    </row>
    <row r="40" spans="1:8" ht="15.75" customHeight="1" x14ac:dyDescent="0.15">
      <c r="C40" s="29"/>
    </row>
    <row r="41" spans="1:8" ht="15.75" customHeight="1" x14ac:dyDescent="0.15">
      <c r="C41" s="29"/>
    </row>
    <row r="42" spans="1:8" ht="15.75" customHeight="1" x14ac:dyDescent="0.15">
      <c r="C42" s="29"/>
    </row>
    <row r="43" spans="1:8" ht="15.75" customHeight="1" x14ac:dyDescent="0.15">
      <c r="C43" s="29"/>
    </row>
    <row r="44" spans="1:8" ht="15.75" customHeight="1" x14ac:dyDescent="0.15">
      <c r="C44" s="29"/>
    </row>
    <row r="45" spans="1:8" ht="15.75" customHeight="1" x14ac:dyDescent="0.15">
      <c r="C45" s="29"/>
    </row>
    <row r="46" spans="1:8" ht="15.75" customHeight="1" x14ac:dyDescent="0.15">
      <c r="C46" s="29"/>
    </row>
    <row r="47" spans="1:8" ht="15.75" customHeight="1" x14ac:dyDescent="0.15">
      <c r="C47" s="29"/>
    </row>
    <row r="48" spans="1:8" ht="15.75" customHeight="1" x14ac:dyDescent="0.15">
      <c r="C48" s="29"/>
    </row>
    <row r="49" spans="3:3" ht="15.75" customHeight="1" x14ac:dyDescent="0.15">
      <c r="C49" s="29"/>
    </row>
    <row r="50" spans="3:3" ht="15.75" customHeight="1" x14ac:dyDescent="0.15">
      <c r="C50" s="29"/>
    </row>
    <row r="51" spans="3:3" ht="15.75" customHeight="1" x14ac:dyDescent="0.15">
      <c r="C51" s="29"/>
    </row>
    <row r="52" spans="3:3" ht="15.75" customHeight="1" x14ac:dyDescent="0.15">
      <c r="C52" s="29"/>
    </row>
    <row r="53" spans="3:3" ht="15.75" customHeight="1" x14ac:dyDescent="0.15">
      <c r="C53" s="29"/>
    </row>
    <row r="54" spans="3:3" ht="15.75" customHeight="1" x14ac:dyDescent="0.15">
      <c r="C54" s="29"/>
    </row>
    <row r="55" spans="3:3" ht="15.75" customHeight="1" x14ac:dyDescent="0.15">
      <c r="C55" s="29"/>
    </row>
    <row r="56" spans="3:3" ht="15.75" customHeight="1" x14ac:dyDescent="0.15">
      <c r="C56" s="29"/>
    </row>
    <row r="57" spans="3:3" ht="15.75" customHeight="1" x14ac:dyDescent="0.15">
      <c r="C57" s="29"/>
    </row>
    <row r="58" spans="3:3" ht="15.75" customHeight="1" x14ac:dyDescent="0.15">
      <c r="C58" s="29"/>
    </row>
    <row r="59" spans="3:3" ht="15.75" customHeight="1" x14ac:dyDescent="0.15">
      <c r="C59" s="29"/>
    </row>
    <row r="60" spans="3:3" ht="15.75" customHeight="1" x14ac:dyDescent="0.15">
      <c r="C60" s="29"/>
    </row>
    <row r="61" spans="3:3" ht="15.75" customHeight="1" x14ac:dyDescent="0.15">
      <c r="C61" s="29"/>
    </row>
    <row r="62" spans="3:3" ht="15.75" customHeight="1" x14ac:dyDescent="0.15">
      <c r="C62" s="29"/>
    </row>
    <row r="63" spans="3:3" ht="15.75" customHeight="1" x14ac:dyDescent="0.15">
      <c r="C63" s="29"/>
    </row>
    <row r="64" spans="3:3" ht="15.75" customHeight="1" x14ac:dyDescent="0.15">
      <c r="C64" s="29"/>
    </row>
    <row r="65" spans="3:3" ht="15.75" customHeight="1" x14ac:dyDescent="0.15">
      <c r="C65" s="29"/>
    </row>
    <row r="66" spans="3:3" ht="15.75" customHeight="1" x14ac:dyDescent="0.15">
      <c r="C66" s="29"/>
    </row>
    <row r="67" spans="3:3" ht="15.75" customHeight="1" x14ac:dyDescent="0.15">
      <c r="C67" s="29"/>
    </row>
    <row r="68" spans="3:3" ht="15.75" customHeight="1" x14ac:dyDescent="0.15">
      <c r="C68" s="29"/>
    </row>
    <row r="69" spans="3:3" ht="15.75" customHeight="1" x14ac:dyDescent="0.15">
      <c r="C69" s="29"/>
    </row>
    <row r="70" spans="3:3" ht="15.75" customHeight="1" x14ac:dyDescent="0.15">
      <c r="C70" s="29"/>
    </row>
    <row r="71" spans="3:3" ht="15.75" customHeight="1" x14ac:dyDescent="0.15">
      <c r="C71" s="29"/>
    </row>
    <row r="72" spans="3:3" ht="15.75" customHeight="1" x14ac:dyDescent="0.15">
      <c r="C72" s="29"/>
    </row>
    <row r="73" spans="3:3" ht="15.75" customHeight="1" x14ac:dyDescent="0.15">
      <c r="C73" s="29"/>
    </row>
    <row r="74" spans="3:3" ht="15.75" customHeight="1" x14ac:dyDescent="0.15">
      <c r="C74" s="29"/>
    </row>
    <row r="75" spans="3:3" ht="15.75" customHeight="1" x14ac:dyDescent="0.15">
      <c r="C75" s="29"/>
    </row>
    <row r="76" spans="3:3" ht="15.75" customHeight="1" x14ac:dyDescent="0.15">
      <c r="C76" s="29"/>
    </row>
    <row r="77" spans="3:3" ht="15.75" customHeight="1" x14ac:dyDescent="0.15">
      <c r="C77" s="29"/>
    </row>
    <row r="78" spans="3:3" ht="15.75" customHeight="1" x14ac:dyDescent="0.15">
      <c r="C78" s="29"/>
    </row>
    <row r="79" spans="3:3" ht="15.75" customHeight="1" x14ac:dyDescent="0.15">
      <c r="C79" s="29"/>
    </row>
    <row r="80" spans="3:3" ht="15.75" customHeight="1" x14ac:dyDescent="0.15">
      <c r="C80" s="29"/>
    </row>
    <row r="81" spans="3:3" ht="15.75" customHeight="1" x14ac:dyDescent="0.15">
      <c r="C81" s="29"/>
    </row>
    <row r="82" spans="3:3" ht="15.75" customHeight="1" x14ac:dyDescent="0.15">
      <c r="C82" s="29"/>
    </row>
    <row r="83" spans="3:3" ht="15.75" customHeight="1" x14ac:dyDescent="0.15">
      <c r="C83" s="29"/>
    </row>
    <row r="84" spans="3:3" ht="15.75" customHeight="1" x14ac:dyDescent="0.15">
      <c r="C84" s="29"/>
    </row>
    <row r="85" spans="3:3" ht="15.75" customHeight="1" x14ac:dyDescent="0.15">
      <c r="C85" s="29"/>
    </row>
    <row r="86" spans="3:3" ht="15.75" customHeight="1" x14ac:dyDescent="0.15">
      <c r="C86" s="29"/>
    </row>
    <row r="87" spans="3:3" ht="15.75" customHeight="1" x14ac:dyDescent="0.15">
      <c r="C87" s="29"/>
    </row>
    <row r="88" spans="3:3" ht="15.75" customHeight="1" x14ac:dyDescent="0.15">
      <c r="C88" s="29"/>
    </row>
    <row r="89" spans="3:3" ht="15.75" customHeight="1" x14ac:dyDescent="0.15">
      <c r="C89" s="29"/>
    </row>
    <row r="90" spans="3:3" ht="15.75" customHeight="1" x14ac:dyDescent="0.15">
      <c r="C90" s="29"/>
    </row>
    <row r="91" spans="3:3" ht="15.75" customHeight="1" x14ac:dyDescent="0.15">
      <c r="C91" s="29"/>
    </row>
    <row r="92" spans="3:3" ht="15.75" customHeight="1" x14ac:dyDescent="0.15">
      <c r="C92" s="29"/>
    </row>
    <row r="93" spans="3:3" ht="15.75" customHeight="1" x14ac:dyDescent="0.15">
      <c r="C93" s="29"/>
    </row>
    <row r="94" spans="3:3" ht="15.75" customHeight="1" x14ac:dyDescent="0.15">
      <c r="C94" s="29"/>
    </row>
    <row r="95" spans="3:3" ht="15.75" customHeight="1" x14ac:dyDescent="0.15">
      <c r="C95" s="29"/>
    </row>
    <row r="96" spans="3:3" ht="15.75" customHeight="1" x14ac:dyDescent="0.15">
      <c r="C96" s="29"/>
    </row>
    <row r="97" spans="3:3" ht="15.75" customHeight="1" x14ac:dyDescent="0.15">
      <c r="C97" s="29"/>
    </row>
    <row r="98" spans="3:3" ht="15.75" customHeight="1" x14ac:dyDescent="0.15">
      <c r="C98" s="29"/>
    </row>
    <row r="99" spans="3:3" ht="15.75" customHeight="1" x14ac:dyDescent="0.15">
      <c r="C99" s="29"/>
    </row>
    <row r="100" spans="3:3" ht="15.75" customHeight="1" x14ac:dyDescent="0.15">
      <c r="C100" s="29"/>
    </row>
    <row r="101" spans="3:3" ht="15.75" customHeight="1" x14ac:dyDescent="0.15">
      <c r="C101" s="29"/>
    </row>
    <row r="102" spans="3:3" ht="15.75" customHeight="1" x14ac:dyDescent="0.15">
      <c r="C102" s="29"/>
    </row>
    <row r="103" spans="3:3" ht="15.75" customHeight="1" x14ac:dyDescent="0.15">
      <c r="C103" s="29"/>
    </row>
    <row r="104" spans="3:3" ht="15.75" customHeight="1" x14ac:dyDescent="0.15">
      <c r="C104" s="29"/>
    </row>
    <row r="105" spans="3:3" ht="15.75" customHeight="1" x14ac:dyDescent="0.15">
      <c r="C105" s="29"/>
    </row>
    <row r="106" spans="3:3" ht="15.75" customHeight="1" x14ac:dyDescent="0.15">
      <c r="C106" s="29"/>
    </row>
    <row r="107" spans="3:3" ht="15.75" customHeight="1" x14ac:dyDescent="0.15">
      <c r="C107" s="29"/>
    </row>
    <row r="108" spans="3:3" ht="15.75" customHeight="1" x14ac:dyDescent="0.15">
      <c r="C108" s="29"/>
    </row>
    <row r="109" spans="3:3" ht="15.75" customHeight="1" x14ac:dyDescent="0.15">
      <c r="C109" s="29"/>
    </row>
    <row r="110" spans="3:3" ht="15.75" customHeight="1" x14ac:dyDescent="0.15">
      <c r="C110" s="29"/>
    </row>
    <row r="111" spans="3:3" ht="15.75" customHeight="1" x14ac:dyDescent="0.15">
      <c r="C111" s="29"/>
    </row>
    <row r="112" spans="3:3" ht="15.75" customHeight="1" x14ac:dyDescent="0.15">
      <c r="C112" s="29"/>
    </row>
    <row r="113" spans="3:3" ht="15.75" customHeight="1" x14ac:dyDescent="0.15">
      <c r="C113" s="29"/>
    </row>
    <row r="114" spans="3:3" ht="15.75" customHeight="1" x14ac:dyDescent="0.15">
      <c r="C114" s="29"/>
    </row>
    <row r="115" spans="3:3" ht="15.75" customHeight="1" x14ac:dyDescent="0.15">
      <c r="C115" s="29"/>
    </row>
    <row r="116" spans="3:3" ht="15.75" customHeight="1" x14ac:dyDescent="0.15">
      <c r="C116" s="29"/>
    </row>
    <row r="117" spans="3:3" ht="15.75" customHeight="1" x14ac:dyDescent="0.15">
      <c r="C117" s="29"/>
    </row>
    <row r="118" spans="3:3" ht="15.75" customHeight="1" x14ac:dyDescent="0.15">
      <c r="C118" s="29"/>
    </row>
    <row r="119" spans="3:3" ht="15.75" customHeight="1" x14ac:dyDescent="0.15">
      <c r="C119" s="29"/>
    </row>
    <row r="120" spans="3:3" ht="15.75" customHeight="1" x14ac:dyDescent="0.15">
      <c r="C120" s="29"/>
    </row>
    <row r="121" spans="3:3" ht="15.75" customHeight="1" x14ac:dyDescent="0.15">
      <c r="C121" s="29"/>
    </row>
    <row r="122" spans="3:3" ht="15.75" customHeight="1" x14ac:dyDescent="0.15">
      <c r="C122" s="29"/>
    </row>
    <row r="123" spans="3:3" ht="15.75" customHeight="1" x14ac:dyDescent="0.15">
      <c r="C123" s="29"/>
    </row>
    <row r="124" spans="3:3" ht="15.75" customHeight="1" x14ac:dyDescent="0.15">
      <c r="C124" s="29"/>
    </row>
    <row r="125" spans="3:3" ht="15.75" customHeight="1" x14ac:dyDescent="0.15">
      <c r="C125" s="29"/>
    </row>
    <row r="126" spans="3:3" ht="15.75" customHeight="1" x14ac:dyDescent="0.15">
      <c r="C126" s="29"/>
    </row>
    <row r="127" spans="3:3" ht="15.75" customHeight="1" x14ac:dyDescent="0.15">
      <c r="C127" s="29"/>
    </row>
    <row r="128" spans="3:3" ht="15.75" customHeight="1" x14ac:dyDescent="0.15">
      <c r="C128" s="29"/>
    </row>
    <row r="129" spans="3:3" ht="15.75" customHeight="1" x14ac:dyDescent="0.15">
      <c r="C129" s="29"/>
    </row>
    <row r="130" spans="3:3" ht="15.75" customHeight="1" x14ac:dyDescent="0.15">
      <c r="C130" s="29"/>
    </row>
    <row r="131" spans="3:3" ht="15.75" customHeight="1" x14ac:dyDescent="0.15">
      <c r="C131" s="29"/>
    </row>
    <row r="132" spans="3:3" ht="15.75" customHeight="1" x14ac:dyDescent="0.15">
      <c r="C132" s="29"/>
    </row>
    <row r="133" spans="3:3" ht="15.75" customHeight="1" x14ac:dyDescent="0.15">
      <c r="C133" s="29"/>
    </row>
    <row r="134" spans="3:3" ht="15.75" customHeight="1" x14ac:dyDescent="0.15">
      <c r="C134" s="29"/>
    </row>
    <row r="135" spans="3:3" ht="15.75" customHeight="1" x14ac:dyDescent="0.15">
      <c r="C135" s="29"/>
    </row>
    <row r="136" spans="3:3" ht="15.75" customHeight="1" x14ac:dyDescent="0.15">
      <c r="C136" s="29"/>
    </row>
    <row r="137" spans="3:3" ht="15.75" customHeight="1" x14ac:dyDescent="0.15">
      <c r="C137" s="29"/>
    </row>
    <row r="138" spans="3:3" ht="15.75" customHeight="1" x14ac:dyDescent="0.15">
      <c r="C138" s="29"/>
    </row>
    <row r="139" spans="3:3" ht="15.75" customHeight="1" x14ac:dyDescent="0.15">
      <c r="C139" s="29"/>
    </row>
    <row r="140" spans="3:3" ht="15.75" customHeight="1" x14ac:dyDescent="0.15">
      <c r="C140" s="29"/>
    </row>
    <row r="141" spans="3:3" ht="15.75" customHeight="1" x14ac:dyDescent="0.15">
      <c r="C141" s="29"/>
    </row>
    <row r="142" spans="3:3" ht="15.75" customHeight="1" x14ac:dyDescent="0.15">
      <c r="C142" s="29"/>
    </row>
    <row r="143" spans="3:3" ht="15.75" customHeight="1" x14ac:dyDescent="0.15">
      <c r="C143" s="29"/>
    </row>
    <row r="144" spans="3:3" ht="15.75" customHeight="1" x14ac:dyDescent="0.15">
      <c r="C144" s="29"/>
    </row>
    <row r="145" spans="3:3" ht="15.75" customHeight="1" x14ac:dyDescent="0.15">
      <c r="C145" s="29"/>
    </row>
    <row r="146" spans="3:3" ht="15.75" customHeight="1" x14ac:dyDescent="0.15">
      <c r="C146" s="29"/>
    </row>
    <row r="147" spans="3:3" ht="15.75" customHeight="1" x14ac:dyDescent="0.15">
      <c r="C147" s="29"/>
    </row>
    <row r="148" spans="3:3" ht="15.75" customHeight="1" x14ac:dyDescent="0.15">
      <c r="C148" s="29"/>
    </row>
    <row r="149" spans="3:3" ht="15.75" customHeight="1" x14ac:dyDescent="0.15">
      <c r="C149" s="29"/>
    </row>
    <row r="150" spans="3:3" ht="15.75" customHeight="1" x14ac:dyDescent="0.15">
      <c r="C150" s="29"/>
    </row>
    <row r="151" spans="3:3" ht="15.75" customHeight="1" x14ac:dyDescent="0.15">
      <c r="C151" s="29"/>
    </row>
    <row r="152" spans="3:3" ht="15.75" customHeight="1" x14ac:dyDescent="0.15">
      <c r="C152" s="29"/>
    </row>
    <row r="153" spans="3:3" ht="15.75" customHeight="1" x14ac:dyDescent="0.15">
      <c r="C153" s="29"/>
    </row>
    <row r="154" spans="3:3" ht="15.75" customHeight="1" x14ac:dyDescent="0.15">
      <c r="C154" s="29"/>
    </row>
    <row r="155" spans="3:3" ht="15.75" customHeight="1" x14ac:dyDescent="0.15">
      <c r="C155" s="29"/>
    </row>
    <row r="156" spans="3:3" ht="15.75" customHeight="1" x14ac:dyDescent="0.15">
      <c r="C156" s="29"/>
    </row>
    <row r="157" spans="3:3" ht="15.75" customHeight="1" x14ac:dyDescent="0.15">
      <c r="C157" s="29"/>
    </row>
    <row r="158" spans="3:3" ht="15.75" customHeight="1" x14ac:dyDescent="0.15">
      <c r="C158" s="29"/>
    </row>
    <row r="159" spans="3:3" ht="15.75" customHeight="1" x14ac:dyDescent="0.15">
      <c r="C159" s="29"/>
    </row>
    <row r="160" spans="3:3" ht="15.75" customHeight="1" x14ac:dyDescent="0.15">
      <c r="C160" s="29"/>
    </row>
    <row r="161" spans="3:3" ht="15.75" customHeight="1" x14ac:dyDescent="0.15">
      <c r="C161" s="29"/>
    </row>
    <row r="162" spans="3:3" ht="15.75" customHeight="1" x14ac:dyDescent="0.15">
      <c r="C162" s="29"/>
    </row>
    <row r="163" spans="3:3" ht="15.75" customHeight="1" x14ac:dyDescent="0.15">
      <c r="C163" s="29"/>
    </row>
    <row r="164" spans="3:3" ht="15.75" customHeight="1" x14ac:dyDescent="0.15">
      <c r="C164" s="29"/>
    </row>
    <row r="165" spans="3:3" ht="15.75" customHeight="1" x14ac:dyDescent="0.15">
      <c r="C165" s="29"/>
    </row>
    <row r="166" spans="3:3" ht="15.75" customHeight="1" x14ac:dyDescent="0.15">
      <c r="C166" s="29"/>
    </row>
    <row r="167" spans="3:3" ht="15.75" customHeight="1" x14ac:dyDescent="0.15">
      <c r="C167" s="29"/>
    </row>
    <row r="168" spans="3:3" ht="15.75" customHeight="1" x14ac:dyDescent="0.15">
      <c r="C168" s="29"/>
    </row>
    <row r="169" spans="3:3" ht="15.75" customHeight="1" x14ac:dyDescent="0.15">
      <c r="C169" s="29"/>
    </row>
    <row r="170" spans="3:3" ht="15.75" customHeight="1" x14ac:dyDescent="0.15">
      <c r="C170" s="29"/>
    </row>
    <row r="171" spans="3:3" ht="15.75" customHeight="1" x14ac:dyDescent="0.15">
      <c r="C171" s="29"/>
    </row>
    <row r="172" spans="3:3" ht="15.75" customHeight="1" x14ac:dyDescent="0.15">
      <c r="C172" s="29"/>
    </row>
    <row r="173" spans="3:3" ht="15.75" customHeight="1" x14ac:dyDescent="0.15">
      <c r="C173" s="29"/>
    </row>
    <row r="174" spans="3:3" ht="15.75" customHeight="1" x14ac:dyDescent="0.15">
      <c r="C174" s="29"/>
    </row>
    <row r="175" spans="3:3" ht="15.75" customHeight="1" x14ac:dyDescent="0.15">
      <c r="C175" s="29"/>
    </row>
    <row r="176" spans="3:3" ht="15.75" customHeight="1" x14ac:dyDescent="0.15">
      <c r="C176" s="29"/>
    </row>
    <row r="177" spans="3:3" ht="15.75" customHeight="1" x14ac:dyDescent="0.15">
      <c r="C177" s="29"/>
    </row>
    <row r="178" spans="3:3" ht="15.75" customHeight="1" x14ac:dyDescent="0.15">
      <c r="C178" s="29"/>
    </row>
    <row r="179" spans="3:3" ht="15.75" customHeight="1" x14ac:dyDescent="0.15">
      <c r="C179" s="29"/>
    </row>
    <row r="180" spans="3:3" ht="15.75" customHeight="1" x14ac:dyDescent="0.15">
      <c r="C180" s="29"/>
    </row>
    <row r="181" spans="3:3" ht="15.75" customHeight="1" x14ac:dyDescent="0.15">
      <c r="C181" s="29"/>
    </row>
    <row r="182" spans="3:3" ht="15.75" customHeight="1" x14ac:dyDescent="0.15">
      <c r="C182" s="29"/>
    </row>
    <row r="183" spans="3:3" ht="15.75" customHeight="1" x14ac:dyDescent="0.15">
      <c r="C183" s="29"/>
    </row>
    <row r="184" spans="3:3" ht="15.75" customHeight="1" x14ac:dyDescent="0.15">
      <c r="C184" s="29"/>
    </row>
    <row r="185" spans="3:3" ht="15.75" customHeight="1" x14ac:dyDescent="0.15">
      <c r="C185" s="29"/>
    </row>
    <row r="186" spans="3:3" ht="15.75" customHeight="1" x14ac:dyDescent="0.15">
      <c r="C186" s="29"/>
    </row>
    <row r="187" spans="3:3" ht="15.75" customHeight="1" x14ac:dyDescent="0.15">
      <c r="C187" s="29"/>
    </row>
    <row r="188" spans="3:3" ht="15.75" customHeight="1" x14ac:dyDescent="0.15">
      <c r="C188" s="29"/>
    </row>
    <row r="189" spans="3:3" ht="15.75" customHeight="1" x14ac:dyDescent="0.15">
      <c r="C189" s="29"/>
    </row>
    <row r="190" spans="3:3" ht="15.75" customHeight="1" x14ac:dyDescent="0.15">
      <c r="C190" s="29"/>
    </row>
    <row r="191" spans="3:3" ht="15.75" customHeight="1" x14ac:dyDescent="0.15">
      <c r="C191" s="29"/>
    </row>
    <row r="192" spans="3:3" ht="15.75" customHeight="1" x14ac:dyDescent="0.15">
      <c r="C192" s="29"/>
    </row>
    <row r="193" spans="3:3" ht="15.75" customHeight="1" x14ac:dyDescent="0.15">
      <c r="C193" s="29"/>
    </row>
    <row r="194" spans="3:3" ht="15.75" customHeight="1" x14ac:dyDescent="0.15">
      <c r="C194" s="29"/>
    </row>
    <row r="195" spans="3:3" ht="15.75" customHeight="1" x14ac:dyDescent="0.15">
      <c r="C195" s="29"/>
    </row>
    <row r="196" spans="3:3" ht="15.75" customHeight="1" x14ac:dyDescent="0.15">
      <c r="C196" s="29"/>
    </row>
    <row r="197" spans="3:3" ht="15.75" customHeight="1" x14ac:dyDescent="0.15">
      <c r="C197" s="29"/>
    </row>
    <row r="198" spans="3:3" ht="15.75" customHeight="1" x14ac:dyDescent="0.15">
      <c r="C198" s="29"/>
    </row>
    <row r="199" spans="3:3" ht="15.75" customHeight="1" x14ac:dyDescent="0.15">
      <c r="C199" s="29"/>
    </row>
    <row r="200" spans="3:3" ht="15.75" customHeight="1" x14ac:dyDescent="0.15">
      <c r="C200" s="29"/>
    </row>
    <row r="201" spans="3:3" ht="15.75" customHeight="1" x14ac:dyDescent="0.15">
      <c r="C201" s="29"/>
    </row>
    <row r="202" spans="3:3" ht="15.75" customHeight="1" x14ac:dyDescent="0.15">
      <c r="C202" s="29"/>
    </row>
    <row r="203" spans="3:3" ht="15.75" customHeight="1" x14ac:dyDescent="0.15">
      <c r="C203" s="29"/>
    </row>
    <row r="204" spans="3:3" ht="15.75" customHeight="1" x14ac:dyDescent="0.15">
      <c r="C204" s="29"/>
    </row>
    <row r="205" spans="3:3" ht="15.75" customHeight="1" x14ac:dyDescent="0.15">
      <c r="C205" s="29"/>
    </row>
    <row r="206" spans="3:3" ht="15.75" customHeight="1" x14ac:dyDescent="0.15">
      <c r="C206" s="29"/>
    </row>
    <row r="207" spans="3:3" ht="15.75" customHeight="1" x14ac:dyDescent="0.15">
      <c r="C207" s="29"/>
    </row>
    <row r="208" spans="3:3" ht="15.75" customHeight="1" x14ac:dyDescent="0.15">
      <c r="C208" s="29"/>
    </row>
    <row r="209" spans="3:3" ht="15.75" customHeight="1" x14ac:dyDescent="0.15">
      <c r="C209" s="29"/>
    </row>
    <row r="210" spans="3:3" ht="15.75" customHeight="1" x14ac:dyDescent="0.15">
      <c r="C210" s="29"/>
    </row>
    <row r="211" spans="3:3" ht="15.75" customHeight="1" x14ac:dyDescent="0.15">
      <c r="C211" s="29"/>
    </row>
    <row r="212" spans="3:3" ht="15.75" customHeight="1" x14ac:dyDescent="0.15">
      <c r="C212" s="29"/>
    </row>
    <row r="213" spans="3:3" ht="15.75" customHeight="1" x14ac:dyDescent="0.15">
      <c r="C213" s="29"/>
    </row>
    <row r="214" spans="3:3" ht="15.75" customHeight="1" x14ac:dyDescent="0.15">
      <c r="C214" s="29"/>
    </row>
    <row r="215" spans="3:3" ht="15.75" customHeight="1" x14ac:dyDescent="0.15">
      <c r="C215" s="29"/>
    </row>
    <row r="216" spans="3:3" ht="15.75" customHeight="1" x14ac:dyDescent="0.15">
      <c r="C216" s="29"/>
    </row>
    <row r="217" spans="3:3" ht="15.75" customHeight="1" x14ac:dyDescent="0.15">
      <c r="C217" s="29"/>
    </row>
    <row r="218" spans="3:3" ht="15.75" customHeight="1" x14ac:dyDescent="0.15">
      <c r="C218" s="29"/>
    </row>
    <row r="219" spans="3:3" ht="15.75" customHeight="1" x14ac:dyDescent="0.15">
      <c r="C219" s="29"/>
    </row>
    <row r="220" spans="3:3" ht="15.75" customHeight="1" x14ac:dyDescent="0.15">
      <c r="C220" s="29"/>
    </row>
    <row r="221" spans="3:3" ht="15.75" customHeight="1" x14ac:dyDescent="0.15">
      <c r="C221" s="29"/>
    </row>
    <row r="222" spans="3:3" ht="15.75" customHeight="1" x14ac:dyDescent="0.15">
      <c r="C222" s="29"/>
    </row>
    <row r="223" spans="3:3" ht="15.75" customHeight="1" x14ac:dyDescent="0.15">
      <c r="C223" s="29"/>
    </row>
    <row r="224" spans="3:3" ht="15.75" customHeight="1" x14ac:dyDescent="0.15">
      <c r="C224" s="29"/>
    </row>
    <row r="225" spans="3:3" ht="15.75" customHeight="1" x14ac:dyDescent="0.15">
      <c r="C225" s="29"/>
    </row>
    <row r="226" spans="3:3" ht="15.75" customHeight="1" x14ac:dyDescent="0.15">
      <c r="C226" s="29"/>
    </row>
    <row r="227" spans="3:3" ht="15.75" customHeight="1" x14ac:dyDescent="0.15">
      <c r="C227" s="29"/>
    </row>
    <row r="228" spans="3:3" ht="15.75" customHeight="1" x14ac:dyDescent="0.15">
      <c r="C228" s="29"/>
    </row>
    <row r="229" spans="3:3" ht="15.75" customHeight="1" x14ac:dyDescent="0.15">
      <c r="C229" s="29"/>
    </row>
    <row r="230" spans="3:3" ht="15.75" customHeight="1" x14ac:dyDescent="0.15">
      <c r="C230" s="29"/>
    </row>
    <row r="231" spans="3:3" ht="15.75" customHeight="1" x14ac:dyDescent="0.15">
      <c r="C231" s="29"/>
    </row>
    <row r="232" spans="3:3" ht="15.75" customHeight="1" x14ac:dyDescent="0.15">
      <c r="C232" s="29"/>
    </row>
    <row r="233" spans="3:3" ht="15.75" customHeight="1" x14ac:dyDescent="0.15">
      <c r="C233" s="29"/>
    </row>
    <row r="234" spans="3:3" ht="15.75" customHeight="1" x14ac:dyDescent="0.15">
      <c r="C234" s="29"/>
    </row>
    <row r="235" spans="3:3" ht="15.75" customHeight="1" x14ac:dyDescent="0.15">
      <c r="C235" s="29"/>
    </row>
    <row r="236" spans="3:3" ht="15.75" customHeight="1" x14ac:dyDescent="0.15">
      <c r="C236" s="29"/>
    </row>
    <row r="237" spans="3:3" ht="15.75" customHeight="1" x14ac:dyDescent="0.15">
      <c r="C237" s="29"/>
    </row>
    <row r="238" spans="3:3" ht="15.75" customHeight="1" x14ac:dyDescent="0.15">
      <c r="C238" s="29"/>
    </row>
    <row r="239" spans="3:3" ht="15.75" customHeight="1" x14ac:dyDescent="0.15">
      <c r="C239" s="29"/>
    </row>
    <row r="240" spans="3:3" ht="15.75" customHeight="1" x14ac:dyDescent="0.15">
      <c r="C240" s="29"/>
    </row>
    <row r="241" spans="3:3" ht="15.75" customHeight="1" x14ac:dyDescent="0.15">
      <c r="C241" s="29"/>
    </row>
    <row r="242" spans="3:3" ht="15.75" customHeight="1" x14ac:dyDescent="0.15">
      <c r="C242" s="29"/>
    </row>
    <row r="243" spans="3:3" ht="15.75" customHeight="1" x14ac:dyDescent="0.15">
      <c r="C243" s="29"/>
    </row>
    <row r="244" spans="3:3" ht="15.75" customHeight="1" x14ac:dyDescent="0.15">
      <c r="C244" s="29"/>
    </row>
    <row r="245" spans="3:3" ht="15.75" customHeight="1" x14ac:dyDescent="0.15">
      <c r="C245" s="29"/>
    </row>
    <row r="246" spans="3:3" ht="15.75" customHeight="1" x14ac:dyDescent="0.15">
      <c r="C246" s="29"/>
    </row>
    <row r="247" spans="3:3" ht="15.75" customHeight="1" x14ac:dyDescent="0.15">
      <c r="C247" s="29"/>
    </row>
    <row r="248" spans="3:3" ht="15.75" customHeight="1" x14ac:dyDescent="0.15">
      <c r="C248" s="29"/>
    </row>
    <row r="249" spans="3:3" ht="15.75" customHeight="1" x14ac:dyDescent="0.15">
      <c r="C249" s="29"/>
    </row>
    <row r="250" spans="3:3" ht="15.75" customHeight="1" x14ac:dyDescent="0.15">
      <c r="C250" s="29"/>
    </row>
    <row r="251" spans="3:3" ht="15.75" customHeight="1" x14ac:dyDescent="0.15">
      <c r="C251" s="29"/>
    </row>
    <row r="252" spans="3:3" ht="15.75" customHeight="1" x14ac:dyDescent="0.15">
      <c r="C252" s="29"/>
    </row>
    <row r="253" spans="3:3" ht="15.75" customHeight="1" x14ac:dyDescent="0.15">
      <c r="C253" s="29"/>
    </row>
    <row r="254" spans="3:3" ht="15.75" customHeight="1" x14ac:dyDescent="0.15">
      <c r="C254" s="29"/>
    </row>
    <row r="255" spans="3:3" ht="15.75" customHeight="1" x14ac:dyDescent="0.15">
      <c r="C255" s="29"/>
    </row>
    <row r="256" spans="3:3" ht="15.75" customHeight="1" x14ac:dyDescent="0.15">
      <c r="C256" s="29"/>
    </row>
    <row r="257" spans="3:3" ht="15.75" customHeight="1" x14ac:dyDescent="0.15">
      <c r="C257" s="29"/>
    </row>
    <row r="258" spans="3:3" ht="15.75" customHeight="1" x14ac:dyDescent="0.15">
      <c r="C258" s="29"/>
    </row>
    <row r="259" spans="3:3" ht="15.75" customHeight="1" x14ac:dyDescent="0.15">
      <c r="C259" s="29"/>
    </row>
    <row r="260" spans="3:3" ht="15.75" customHeight="1" x14ac:dyDescent="0.15">
      <c r="C260" s="29"/>
    </row>
    <row r="261" spans="3:3" ht="15.75" customHeight="1" x14ac:dyDescent="0.15">
      <c r="C261" s="29"/>
    </row>
    <row r="262" spans="3:3" ht="15.75" customHeight="1" x14ac:dyDescent="0.15">
      <c r="C262" s="29"/>
    </row>
    <row r="263" spans="3:3" ht="15.75" customHeight="1" x14ac:dyDescent="0.15">
      <c r="C263" s="29"/>
    </row>
    <row r="264" spans="3:3" ht="15.75" customHeight="1" x14ac:dyDescent="0.15">
      <c r="C264" s="29"/>
    </row>
    <row r="265" spans="3:3" ht="15.75" customHeight="1" x14ac:dyDescent="0.15">
      <c r="C265" s="29"/>
    </row>
    <row r="266" spans="3:3" ht="15.75" customHeight="1" x14ac:dyDescent="0.15">
      <c r="C266" s="29"/>
    </row>
    <row r="267" spans="3:3" ht="15.75" customHeight="1" x14ac:dyDescent="0.15">
      <c r="C267" s="29"/>
    </row>
    <row r="268" spans="3:3" ht="15.75" customHeight="1" x14ac:dyDescent="0.15">
      <c r="C268" s="29"/>
    </row>
    <row r="269" spans="3:3" ht="15.75" customHeight="1" x14ac:dyDescent="0.15">
      <c r="C269" s="29"/>
    </row>
    <row r="270" spans="3:3" ht="15.75" customHeight="1" x14ac:dyDescent="0.15">
      <c r="C270" s="29"/>
    </row>
    <row r="271" spans="3:3" ht="15.75" customHeight="1" x14ac:dyDescent="0.15">
      <c r="C271" s="29"/>
    </row>
    <row r="272" spans="3:3" ht="15.75" customHeight="1" x14ac:dyDescent="0.15">
      <c r="C272" s="29"/>
    </row>
    <row r="273" spans="3:3" ht="15.75" customHeight="1" x14ac:dyDescent="0.15">
      <c r="C273" s="29"/>
    </row>
    <row r="274" spans="3:3" ht="15.75" customHeight="1" x14ac:dyDescent="0.15">
      <c r="C274" s="29"/>
    </row>
    <row r="275" spans="3:3" ht="15.75" customHeight="1" x14ac:dyDescent="0.15">
      <c r="C275" s="29"/>
    </row>
    <row r="276" spans="3:3" ht="15.75" customHeight="1" x14ac:dyDescent="0.15">
      <c r="C276" s="29"/>
    </row>
    <row r="277" spans="3:3" ht="15.75" customHeight="1" x14ac:dyDescent="0.15">
      <c r="C277" s="29"/>
    </row>
    <row r="278" spans="3:3" ht="15.75" customHeight="1" x14ac:dyDescent="0.15">
      <c r="C278" s="29"/>
    </row>
    <row r="279" spans="3:3" ht="15.75" customHeight="1" x14ac:dyDescent="0.15">
      <c r="C279" s="29"/>
    </row>
    <row r="280" spans="3:3" ht="15.75" customHeight="1" x14ac:dyDescent="0.15">
      <c r="C280" s="29"/>
    </row>
    <row r="281" spans="3:3" ht="15.75" customHeight="1" x14ac:dyDescent="0.15">
      <c r="C281" s="29"/>
    </row>
    <row r="282" spans="3:3" ht="15.75" customHeight="1" x14ac:dyDescent="0.15">
      <c r="C282" s="29"/>
    </row>
    <row r="283" spans="3:3" ht="15.75" customHeight="1" x14ac:dyDescent="0.15">
      <c r="C283" s="29"/>
    </row>
    <row r="284" spans="3:3" ht="15.75" customHeight="1" x14ac:dyDescent="0.15">
      <c r="C284" s="29"/>
    </row>
    <row r="285" spans="3:3" ht="15.75" customHeight="1" x14ac:dyDescent="0.15">
      <c r="C285" s="29"/>
    </row>
    <row r="286" spans="3:3" ht="15.75" customHeight="1" x14ac:dyDescent="0.15">
      <c r="C286" s="29"/>
    </row>
    <row r="287" spans="3:3" ht="15.75" customHeight="1" x14ac:dyDescent="0.15">
      <c r="C287" s="29"/>
    </row>
    <row r="288" spans="3:3" ht="15.75" customHeight="1" x14ac:dyDescent="0.15">
      <c r="C288" s="29"/>
    </row>
    <row r="289" spans="3:3" ht="15.75" customHeight="1" x14ac:dyDescent="0.15">
      <c r="C289" s="29"/>
    </row>
    <row r="290" spans="3:3" ht="15.75" customHeight="1" x14ac:dyDescent="0.15">
      <c r="C290" s="29"/>
    </row>
    <row r="291" spans="3:3" ht="15.75" customHeight="1" x14ac:dyDescent="0.15">
      <c r="C291" s="29"/>
    </row>
    <row r="292" spans="3:3" ht="15.75" customHeight="1" x14ac:dyDescent="0.15">
      <c r="C292" s="29"/>
    </row>
    <row r="293" spans="3:3" ht="15.75" customHeight="1" x14ac:dyDescent="0.15">
      <c r="C293" s="29"/>
    </row>
    <row r="294" spans="3:3" ht="15.75" customHeight="1" x14ac:dyDescent="0.15">
      <c r="C294" s="29"/>
    </row>
    <row r="295" spans="3:3" ht="15.75" customHeight="1" x14ac:dyDescent="0.15">
      <c r="C295" s="29"/>
    </row>
    <row r="296" spans="3:3" ht="15.75" customHeight="1" x14ac:dyDescent="0.15">
      <c r="C296" s="29"/>
    </row>
    <row r="297" spans="3:3" ht="15.75" customHeight="1" x14ac:dyDescent="0.15">
      <c r="C297" s="29"/>
    </row>
    <row r="298" spans="3:3" ht="15.75" customHeight="1" x14ac:dyDescent="0.15">
      <c r="C298" s="29"/>
    </row>
    <row r="299" spans="3:3" ht="15.75" customHeight="1" x14ac:dyDescent="0.15">
      <c r="C299" s="29"/>
    </row>
    <row r="300" spans="3:3" ht="15.75" customHeight="1" x14ac:dyDescent="0.15">
      <c r="C300" s="29"/>
    </row>
    <row r="301" spans="3:3" ht="15.75" customHeight="1" x14ac:dyDescent="0.15">
      <c r="C301" s="29"/>
    </row>
    <row r="302" spans="3:3" ht="15.75" customHeight="1" x14ac:dyDescent="0.15">
      <c r="C302" s="29"/>
    </row>
    <row r="303" spans="3:3" ht="15.75" customHeight="1" x14ac:dyDescent="0.15">
      <c r="C303" s="29"/>
    </row>
    <row r="304" spans="3:3" ht="15.75" customHeight="1" x14ac:dyDescent="0.15">
      <c r="C304" s="29"/>
    </row>
    <row r="305" spans="3:3" ht="15.75" customHeight="1" x14ac:dyDescent="0.15">
      <c r="C305" s="29"/>
    </row>
    <row r="306" spans="3:3" ht="15.75" customHeight="1" x14ac:dyDescent="0.15">
      <c r="C306" s="29"/>
    </row>
    <row r="307" spans="3:3" ht="15.75" customHeight="1" x14ac:dyDescent="0.15">
      <c r="C307" s="29"/>
    </row>
    <row r="308" spans="3:3" ht="15.75" customHeight="1" x14ac:dyDescent="0.15">
      <c r="C308" s="29"/>
    </row>
    <row r="309" spans="3:3" ht="15.75" customHeight="1" x14ac:dyDescent="0.15">
      <c r="C309" s="29"/>
    </row>
    <row r="310" spans="3:3" ht="15.75" customHeight="1" x14ac:dyDescent="0.15">
      <c r="C310" s="29"/>
    </row>
    <row r="311" spans="3:3" ht="15.75" customHeight="1" x14ac:dyDescent="0.15">
      <c r="C311" s="29"/>
    </row>
    <row r="312" spans="3:3" ht="15.75" customHeight="1" x14ac:dyDescent="0.15">
      <c r="C312" s="29"/>
    </row>
    <row r="313" spans="3:3" ht="15.75" customHeight="1" x14ac:dyDescent="0.15">
      <c r="C313" s="29"/>
    </row>
    <row r="314" spans="3:3" ht="15.75" customHeight="1" x14ac:dyDescent="0.15">
      <c r="C314" s="29"/>
    </row>
    <row r="315" spans="3:3" ht="15.75" customHeight="1" x14ac:dyDescent="0.15">
      <c r="C315" s="29"/>
    </row>
    <row r="316" spans="3:3" ht="15.75" customHeight="1" x14ac:dyDescent="0.15">
      <c r="C316" s="29"/>
    </row>
    <row r="317" spans="3:3" ht="15.75" customHeight="1" x14ac:dyDescent="0.15">
      <c r="C317" s="29"/>
    </row>
    <row r="318" spans="3:3" ht="15.75" customHeight="1" x14ac:dyDescent="0.15">
      <c r="C318" s="29"/>
    </row>
    <row r="319" spans="3:3" ht="15.75" customHeight="1" x14ac:dyDescent="0.15">
      <c r="C319" s="29"/>
    </row>
    <row r="320" spans="3:3" ht="15.75" customHeight="1" x14ac:dyDescent="0.15">
      <c r="C320" s="29"/>
    </row>
    <row r="321" spans="3:3" ht="15.75" customHeight="1" x14ac:dyDescent="0.15">
      <c r="C321" s="29"/>
    </row>
    <row r="322" spans="3:3" ht="15.75" customHeight="1" x14ac:dyDescent="0.15">
      <c r="C322" s="29"/>
    </row>
    <row r="323" spans="3:3" ht="15.75" customHeight="1" x14ac:dyDescent="0.15">
      <c r="C323" s="29"/>
    </row>
    <row r="324" spans="3:3" ht="15.75" customHeight="1" x14ac:dyDescent="0.15">
      <c r="C324" s="29"/>
    </row>
    <row r="325" spans="3:3" ht="15.75" customHeight="1" x14ac:dyDescent="0.15">
      <c r="C325" s="29"/>
    </row>
    <row r="326" spans="3:3" ht="15.75" customHeight="1" x14ac:dyDescent="0.15">
      <c r="C326" s="29"/>
    </row>
    <row r="327" spans="3:3" ht="15.75" customHeight="1" x14ac:dyDescent="0.15">
      <c r="C327" s="29"/>
    </row>
    <row r="328" spans="3:3" ht="15.75" customHeight="1" x14ac:dyDescent="0.15">
      <c r="C328" s="29"/>
    </row>
    <row r="329" spans="3:3" ht="15.75" customHeight="1" x14ac:dyDescent="0.15">
      <c r="C329" s="29"/>
    </row>
    <row r="330" spans="3:3" ht="15.75" customHeight="1" x14ac:dyDescent="0.15">
      <c r="C330" s="29"/>
    </row>
    <row r="331" spans="3:3" ht="15.75" customHeight="1" x14ac:dyDescent="0.15">
      <c r="C331" s="29"/>
    </row>
    <row r="332" spans="3:3" ht="15.75" customHeight="1" x14ac:dyDescent="0.15">
      <c r="C332" s="29"/>
    </row>
    <row r="333" spans="3:3" ht="15.75" customHeight="1" x14ac:dyDescent="0.15">
      <c r="C333" s="29"/>
    </row>
    <row r="334" spans="3:3" ht="15.75" customHeight="1" x14ac:dyDescent="0.15">
      <c r="C334" s="29"/>
    </row>
    <row r="335" spans="3:3" ht="15.75" customHeight="1" x14ac:dyDescent="0.15">
      <c r="C335" s="29"/>
    </row>
    <row r="336" spans="3:3" ht="15.75" customHeight="1" x14ac:dyDescent="0.15">
      <c r="C336" s="29"/>
    </row>
    <row r="337" spans="3:3" ht="15.75" customHeight="1" x14ac:dyDescent="0.15">
      <c r="C337" s="29"/>
    </row>
    <row r="338" spans="3:3" ht="15.75" customHeight="1" x14ac:dyDescent="0.15">
      <c r="C338" s="29"/>
    </row>
    <row r="339" spans="3:3" ht="15.75" customHeight="1" x14ac:dyDescent="0.15">
      <c r="C339" s="29"/>
    </row>
    <row r="340" spans="3:3" ht="15.75" customHeight="1" x14ac:dyDescent="0.15">
      <c r="C340" s="29"/>
    </row>
    <row r="341" spans="3:3" ht="15.75" customHeight="1" x14ac:dyDescent="0.15">
      <c r="C341" s="29"/>
    </row>
    <row r="342" spans="3:3" ht="15.75" customHeight="1" x14ac:dyDescent="0.15">
      <c r="C342" s="29"/>
    </row>
    <row r="343" spans="3:3" ht="15.75" customHeight="1" x14ac:dyDescent="0.15">
      <c r="C343" s="29"/>
    </row>
    <row r="344" spans="3:3" ht="15.75" customHeight="1" x14ac:dyDescent="0.15">
      <c r="C344" s="29"/>
    </row>
    <row r="345" spans="3:3" ht="15.75" customHeight="1" x14ac:dyDescent="0.15">
      <c r="C345" s="29"/>
    </row>
    <row r="346" spans="3:3" ht="15.75" customHeight="1" x14ac:dyDescent="0.15">
      <c r="C346" s="29"/>
    </row>
    <row r="347" spans="3:3" ht="15.75" customHeight="1" x14ac:dyDescent="0.15">
      <c r="C347" s="29"/>
    </row>
    <row r="348" spans="3:3" ht="15.75" customHeight="1" x14ac:dyDescent="0.15">
      <c r="C348" s="29"/>
    </row>
    <row r="349" spans="3:3" ht="15.75" customHeight="1" x14ac:dyDescent="0.15">
      <c r="C349" s="29"/>
    </row>
    <row r="350" spans="3:3" ht="15.75" customHeight="1" x14ac:dyDescent="0.15">
      <c r="C350" s="29"/>
    </row>
    <row r="351" spans="3:3" ht="15.75" customHeight="1" x14ac:dyDescent="0.15">
      <c r="C351" s="29"/>
    </row>
    <row r="352" spans="3:3" ht="15.75" customHeight="1" x14ac:dyDescent="0.15">
      <c r="C352" s="29"/>
    </row>
    <row r="353" spans="3:3" ht="15.75" customHeight="1" x14ac:dyDescent="0.15">
      <c r="C353" s="29"/>
    </row>
    <row r="354" spans="3:3" ht="15.75" customHeight="1" x14ac:dyDescent="0.15">
      <c r="C354" s="29"/>
    </row>
    <row r="355" spans="3:3" ht="15.75" customHeight="1" x14ac:dyDescent="0.15">
      <c r="C355" s="29"/>
    </row>
    <row r="356" spans="3:3" ht="15.75" customHeight="1" x14ac:dyDescent="0.15">
      <c r="C356" s="29"/>
    </row>
    <row r="357" spans="3:3" ht="15.75" customHeight="1" x14ac:dyDescent="0.15">
      <c r="C357" s="29"/>
    </row>
    <row r="358" spans="3:3" ht="15.75" customHeight="1" x14ac:dyDescent="0.15">
      <c r="C358" s="29"/>
    </row>
    <row r="359" spans="3:3" ht="15.75" customHeight="1" x14ac:dyDescent="0.15">
      <c r="C359" s="29"/>
    </row>
    <row r="360" spans="3:3" ht="15.75" customHeight="1" x14ac:dyDescent="0.15">
      <c r="C360" s="29"/>
    </row>
    <row r="361" spans="3:3" ht="15.75" customHeight="1" x14ac:dyDescent="0.15">
      <c r="C361" s="29"/>
    </row>
    <row r="362" spans="3:3" ht="15.75" customHeight="1" x14ac:dyDescent="0.15">
      <c r="C362" s="29"/>
    </row>
    <row r="363" spans="3:3" ht="15.75" customHeight="1" x14ac:dyDescent="0.15">
      <c r="C363" s="29"/>
    </row>
    <row r="364" spans="3:3" ht="15.75" customHeight="1" x14ac:dyDescent="0.15">
      <c r="C364" s="29"/>
    </row>
    <row r="365" spans="3:3" ht="15.75" customHeight="1" x14ac:dyDescent="0.15">
      <c r="C365" s="29"/>
    </row>
    <row r="366" spans="3:3" ht="15.75" customHeight="1" x14ac:dyDescent="0.15">
      <c r="C366" s="29"/>
    </row>
    <row r="367" spans="3:3" ht="15.75" customHeight="1" x14ac:dyDescent="0.15">
      <c r="C367" s="29"/>
    </row>
    <row r="368" spans="3:3" ht="15.75" customHeight="1" x14ac:dyDescent="0.15">
      <c r="C368" s="29"/>
    </row>
    <row r="369" spans="3:3" ht="15.75" customHeight="1" x14ac:dyDescent="0.15">
      <c r="C369" s="29"/>
    </row>
    <row r="370" spans="3:3" ht="15.75" customHeight="1" x14ac:dyDescent="0.15">
      <c r="C370" s="29"/>
    </row>
    <row r="371" spans="3:3" ht="15.75" customHeight="1" x14ac:dyDescent="0.15">
      <c r="C371" s="29"/>
    </row>
    <row r="372" spans="3:3" ht="15.75" customHeight="1" x14ac:dyDescent="0.15">
      <c r="C372" s="29"/>
    </row>
    <row r="373" spans="3:3" ht="15.75" customHeight="1" x14ac:dyDescent="0.15">
      <c r="C373" s="29"/>
    </row>
    <row r="374" spans="3:3" ht="15.75" customHeight="1" x14ac:dyDescent="0.15">
      <c r="C374" s="29"/>
    </row>
    <row r="375" spans="3:3" ht="15.75" customHeight="1" x14ac:dyDescent="0.15">
      <c r="C375" s="29"/>
    </row>
    <row r="376" spans="3:3" ht="15.75" customHeight="1" x14ac:dyDescent="0.15">
      <c r="C376" s="29"/>
    </row>
    <row r="377" spans="3:3" ht="15.75" customHeight="1" x14ac:dyDescent="0.15">
      <c r="C377" s="29"/>
    </row>
    <row r="378" spans="3:3" ht="15.75" customHeight="1" x14ac:dyDescent="0.15">
      <c r="C378" s="29"/>
    </row>
    <row r="379" spans="3:3" ht="15.75" customHeight="1" x14ac:dyDescent="0.15">
      <c r="C379" s="29"/>
    </row>
    <row r="380" spans="3:3" ht="15.75" customHeight="1" x14ac:dyDescent="0.15">
      <c r="C380" s="29"/>
    </row>
    <row r="381" spans="3:3" ht="15.75" customHeight="1" x14ac:dyDescent="0.15">
      <c r="C381" s="29"/>
    </row>
    <row r="382" spans="3:3" ht="15.75" customHeight="1" x14ac:dyDescent="0.15">
      <c r="C382" s="29"/>
    </row>
    <row r="383" spans="3:3" ht="15.75" customHeight="1" x14ac:dyDescent="0.15">
      <c r="C383" s="29"/>
    </row>
    <row r="384" spans="3:3" ht="15.75" customHeight="1" x14ac:dyDescent="0.15">
      <c r="C384" s="29"/>
    </row>
    <row r="385" spans="3:3" ht="15.75" customHeight="1" x14ac:dyDescent="0.15">
      <c r="C385" s="29"/>
    </row>
    <row r="386" spans="3:3" ht="15.75" customHeight="1" x14ac:dyDescent="0.15">
      <c r="C386" s="29"/>
    </row>
    <row r="387" spans="3:3" ht="15.75" customHeight="1" x14ac:dyDescent="0.15">
      <c r="C387" s="29"/>
    </row>
    <row r="388" spans="3:3" ht="15.75" customHeight="1" x14ac:dyDescent="0.15">
      <c r="C388" s="29"/>
    </row>
    <row r="389" spans="3:3" ht="15.75" customHeight="1" x14ac:dyDescent="0.15">
      <c r="C389" s="29"/>
    </row>
    <row r="390" spans="3:3" ht="15.75" customHeight="1" x14ac:dyDescent="0.15">
      <c r="C390" s="29"/>
    </row>
    <row r="391" spans="3:3" ht="15.75" customHeight="1" x14ac:dyDescent="0.15">
      <c r="C391" s="29"/>
    </row>
    <row r="392" spans="3:3" ht="15.75" customHeight="1" x14ac:dyDescent="0.15">
      <c r="C392" s="29"/>
    </row>
    <row r="393" spans="3:3" ht="15.75" customHeight="1" x14ac:dyDescent="0.15">
      <c r="C393" s="29"/>
    </row>
    <row r="394" spans="3:3" ht="15.75" customHeight="1" x14ac:dyDescent="0.15">
      <c r="C394" s="29"/>
    </row>
    <row r="395" spans="3:3" ht="15.75" customHeight="1" x14ac:dyDescent="0.15">
      <c r="C395" s="29"/>
    </row>
    <row r="396" spans="3:3" ht="15.75" customHeight="1" x14ac:dyDescent="0.15">
      <c r="C396" s="29"/>
    </row>
    <row r="397" spans="3:3" ht="15.75" customHeight="1" x14ac:dyDescent="0.15">
      <c r="C397" s="29"/>
    </row>
    <row r="398" spans="3:3" ht="15.75" customHeight="1" x14ac:dyDescent="0.15">
      <c r="C398" s="29"/>
    </row>
    <row r="399" spans="3:3" ht="15.75" customHeight="1" x14ac:dyDescent="0.15">
      <c r="C399" s="29"/>
    </row>
    <row r="400" spans="3:3" ht="15.75" customHeight="1" x14ac:dyDescent="0.15">
      <c r="C400" s="29"/>
    </row>
    <row r="401" spans="3:3" ht="15.75" customHeight="1" x14ac:dyDescent="0.15">
      <c r="C401" s="29"/>
    </row>
    <row r="402" spans="3:3" ht="15.75" customHeight="1" x14ac:dyDescent="0.15">
      <c r="C402" s="29"/>
    </row>
    <row r="403" spans="3:3" ht="15.75" customHeight="1" x14ac:dyDescent="0.15">
      <c r="C403" s="29"/>
    </row>
    <row r="404" spans="3:3" ht="15.75" customHeight="1" x14ac:dyDescent="0.15">
      <c r="C404" s="29"/>
    </row>
    <row r="405" spans="3:3" ht="15.75" customHeight="1" x14ac:dyDescent="0.15">
      <c r="C405" s="29"/>
    </row>
    <row r="406" spans="3:3" ht="15.75" customHeight="1" x14ac:dyDescent="0.15">
      <c r="C406" s="29"/>
    </row>
    <row r="407" spans="3:3" ht="15.75" customHeight="1" x14ac:dyDescent="0.15">
      <c r="C407" s="29"/>
    </row>
    <row r="408" spans="3:3" ht="15.75" customHeight="1" x14ac:dyDescent="0.15">
      <c r="C408" s="29"/>
    </row>
    <row r="409" spans="3:3" ht="15.75" customHeight="1" x14ac:dyDescent="0.15">
      <c r="C409" s="29"/>
    </row>
    <row r="410" spans="3:3" ht="15.75" customHeight="1" x14ac:dyDescent="0.15">
      <c r="C410" s="29"/>
    </row>
    <row r="411" spans="3:3" ht="15.75" customHeight="1" x14ac:dyDescent="0.15">
      <c r="C411" s="29"/>
    </row>
    <row r="412" spans="3:3" ht="15.75" customHeight="1" x14ac:dyDescent="0.15">
      <c r="C412" s="29"/>
    </row>
    <row r="413" spans="3:3" ht="15.75" customHeight="1" x14ac:dyDescent="0.15">
      <c r="C413" s="29"/>
    </row>
    <row r="414" spans="3:3" ht="15.75" customHeight="1" x14ac:dyDescent="0.15">
      <c r="C414" s="29"/>
    </row>
    <row r="415" spans="3:3" ht="15.75" customHeight="1" x14ac:dyDescent="0.15">
      <c r="C415" s="29"/>
    </row>
    <row r="416" spans="3:3" ht="15.75" customHeight="1" x14ac:dyDescent="0.15">
      <c r="C416" s="29"/>
    </row>
    <row r="417" spans="3:3" ht="15.75" customHeight="1" x14ac:dyDescent="0.15">
      <c r="C417" s="29"/>
    </row>
    <row r="418" spans="3:3" ht="15.75" customHeight="1" x14ac:dyDescent="0.15">
      <c r="C418" s="29"/>
    </row>
    <row r="419" spans="3:3" ht="15.75" customHeight="1" x14ac:dyDescent="0.15">
      <c r="C419" s="29"/>
    </row>
    <row r="420" spans="3:3" ht="15.75" customHeight="1" x14ac:dyDescent="0.15">
      <c r="C420" s="29"/>
    </row>
    <row r="421" spans="3:3" ht="15.75" customHeight="1" x14ac:dyDescent="0.15">
      <c r="C421" s="29"/>
    </row>
    <row r="422" spans="3:3" ht="15.75" customHeight="1" x14ac:dyDescent="0.15">
      <c r="C422" s="29"/>
    </row>
    <row r="423" spans="3:3" ht="15.75" customHeight="1" x14ac:dyDescent="0.15">
      <c r="C423" s="29"/>
    </row>
    <row r="424" spans="3:3" ht="15.75" customHeight="1" x14ac:dyDescent="0.15">
      <c r="C424" s="29"/>
    </row>
    <row r="425" spans="3:3" ht="15.75" customHeight="1" x14ac:dyDescent="0.15">
      <c r="C425" s="29"/>
    </row>
    <row r="426" spans="3:3" ht="15.75" customHeight="1" x14ac:dyDescent="0.15">
      <c r="C426" s="29"/>
    </row>
    <row r="427" spans="3:3" ht="15.75" customHeight="1" x14ac:dyDescent="0.15">
      <c r="C427" s="29"/>
    </row>
    <row r="428" spans="3:3" ht="15.75" customHeight="1" x14ac:dyDescent="0.15">
      <c r="C428" s="29"/>
    </row>
    <row r="429" spans="3:3" ht="15.75" customHeight="1" x14ac:dyDescent="0.15">
      <c r="C429" s="29"/>
    </row>
    <row r="430" spans="3:3" ht="15.75" customHeight="1" x14ac:dyDescent="0.15">
      <c r="C430" s="29"/>
    </row>
    <row r="431" spans="3:3" ht="15.75" customHeight="1" x14ac:dyDescent="0.15">
      <c r="C431" s="29"/>
    </row>
    <row r="432" spans="3:3" ht="15.75" customHeight="1" x14ac:dyDescent="0.15">
      <c r="C432" s="29"/>
    </row>
    <row r="433" spans="3:3" ht="15.75" customHeight="1" x14ac:dyDescent="0.15">
      <c r="C433" s="29"/>
    </row>
    <row r="434" spans="3:3" ht="15.75" customHeight="1" x14ac:dyDescent="0.15">
      <c r="C434" s="29"/>
    </row>
    <row r="435" spans="3:3" ht="15.75" customHeight="1" x14ac:dyDescent="0.15">
      <c r="C435" s="29"/>
    </row>
    <row r="436" spans="3:3" ht="15.75" customHeight="1" x14ac:dyDescent="0.15">
      <c r="C436" s="29"/>
    </row>
    <row r="437" spans="3:3" ht="15.75" customHeight="1" x14ac:dyDescent="0.15">
      <c r="C437" s="29"/>
    </row>
    <row r="438" spans="3:3" ht="15.75" customHeight="1" x14ac:dyDescent="0.15">
      <c r="C438" s="29"/>
    </row>
    <row r="439" spans="3:3" ht="15.75" customHeight="1" x14ac:dyDescent="0.15">
      <c r="C439" s="29"/>
    </row>
    <row r="440" spans="3:3" ht="15.75" customHeight="1" x14ac:dyDescent="0.15">
      <c r="C440" s="29"/>
    </row>
    <row r="441" spans="3:3" ht="15.75" customHeight="1" x14ac:dyDescent="0.15">
      <c r="C441" s="29"/>
    </row>
    <row r="442" spans="3:3" ht="15.75" customHeight="1" x14ac:dyDescent="0.15">
      <c r="C442" s="29"/>
    </row>
    <row r="443" spans="3:3" ht="15.75" customHeight="1" x14ac:dyDescent="0.15">
      <c r="C443" s="29"/>
    </row>
    <row r="444" spans="3:3" ht="15.75" customHeight="1" x14ac:dyDescent="0.15">
      <c r="C444" s="29"/>
    </row>
    <row r="445" spans="3:3" ht="15.75" customHeight="1" x14ac:dyDescent="0.15">
      <c r="C445" s="29"/>
    </row>
    <row r="446" spans="3:3" ht="15.75" customHeight="1" x14ac:dyDescent="0.15">
      <c r="C446" s="29"/>
    </row>
    <row r="447" spans="3:3" ht="15.75" customHeight="1" x14ac:dyDescent="0.15">
      <c r="C447" s="29"/>
    </row>
    <row r="448" spans="3:3" ht="15.75" customHeight="1" x14ac:dyDescent="0.15">
      <c r="C448" s="29"/>
    </row>
    <row r="449" spans="3:3" ht="15.75" customHeight="1" x14ac:dyDescent="0.15">
      <c r="C449" s="29"/>
    </row>
    <row r="450" spans="3:3" ht="15.75" customHeight="1" x14ac:dyDescent="0.15">
      <c r="C450" s="29"/>
    </row>
    <row r="451" spans="3:3" ht="15.75" customHeight="1" x14ac:dyDescent="0.15">
      <c r="C451" s="29"/>
    </row>
    <row r="452" spans="3:3" ht="15.75" customHeight="1" x14ac:dyDescent="0.15">
      <c r="C452" s="29"/>
    </row>
    <row r="453" spans="3:3" ht="15.75" customHeight="1" x14ac:dyDescent="0.15">
      <c r="C453" s="29"/>
    </row>
    <row r="454" spans="3:3" ht="15.75" customHeight="1" x14ac:dyDescent="0.15">
      <c r="C454" s="29"/>
    </row>
    <row r="455" spans="3:3" ht="15.75" customHeight="1" x14ac:dyDescent="0.15">
      <c r="C455" s="29"/>
    </row>
    <row r="456" spans="3:3" ht="15.75" customHeight="1" x14ac:dyDescent="0.15">
      <c r="C456" s="29"/>
    </row>
    <row r="457" spans="3:3" ht="15.75" customHeight="1" x14ac:dyDescent="0.15">
      <c r="C457" s="29"/>
    </row>
    <row r="458" spans="3:3" ht="15.75" customHeight="1" x14ac:dyDescent="0.15">
      <c r="C458" s="29"/>
    </row>
    <row r="459" spans="3:3" ht="15.75" customHeight="1" x14ac:dyDescent="0.15">
      <c r="C459" s="29"/>
    </row>
    <row r="460" spans="3:3" ht="15.75" customHeight="1" x14ac:dyDescent="0.15">
      <c r="C460" s="29"/>
    </row>
    <row r="461" spans="3:3" ht="15.75" customHeight="1" x14ac:dyDescent="0.15">
      <c r="C461" s="29"/>
    </row>
    <row r="462" spans="3:3" ht="15.75" customHeight="1" x14ac:dyDescent="0.15">
      <c r="C462" s="29"/>
    </row>
    <row r="463" spans="3:3" ht="15.75" customHeight="1" x14ac:dyDescent="0.15">
      <c r="C463" s="29"/>
    </row>
    <row r="464" spans="3:3" ht="15.75" customHeight="1" x14ac:dyDescent="0.15">
      <c r="C464" s="29"/>
    </row>
    <row r="465" spans="3:3" ht="15.75" customHeight="1" x14ac:dyDescent="0.15">
      <c r="C465" s="29"/>
    </row>
    <row r="466" spans="3:3" ht="15.75" customHeight="1" x14ac:dyDescent="0.15">
      <c r="C466" s="29"/>
    </row>
    <row r="467" spans="3:3" ht="15.75" customHeight="1" x14ac:dyDescent="0.15">
      <c r="C467" s="29"/>
    </row>
    <row r="468" spans="3:3" ht="15.75" customHeight="1" x14ac:dyDescent="0.15">
      <c r="C468" s="29"/>
    </row>
    <row r="469" spans="3:3" ht="15.75" customHeight="1" x14ac:dyDescent="0.15">
      <c r="C469" s="29"/>
    </row>
    <row r="470" spans="3:3" ht="15.75" customHeight="1" x14ac:dyDescent="0.15">
      <c r="C470" s="29"/>
    </row>
    <row r="471" spans="3:3" ht="15.75" customHeight="1" x14ac:dyDescent="0.15">
      <c r="C471" s="29"/>
    </row>
    <row r="472" spans="3:3" ht="15.75" customHeight="1" x14ac:dyDescent="0.15">
      <c r="C472" s="29"/>
    </row>
    <row r="473" spans="3:3" ht="15.75" customHeight="1" x14ac:dyDescent="0.15">
      <c r="C473" s="29"/>
    </row>
    <row r="474" spans="3:3" ht="15.75" customHeight="1" x14ac:dyDescent="0.15">
      <c r="C474" s="29"/>
    </row>
    <row r="475" spans="3:3" ht="15.75" customHeight="1" x14ac:dyDescent="0.15">
      <c r="C475" s="29"/>
    </row>
    <row r="476" spans="3:3" ht="15.75" customHeight="1" x14ac:dyDescent="0.15">
      <c r="C476" s="29"/>
    </row>
    <row r="477" spans="3:3" ht="15.75" customHeight="1" x14ac:dyDescent="0.15">
      <c r="C477" s="29"/>
    </row>
    <row r="478" spans="3:3" ht="15.75" customHeight="1" x14ac:dyDescent="0.15">
      <c r="C478" s="29"/>
    </row>
    <row r="479" spans="3:3" ht="15.75" customHeight="1" x14ac:dyDescent="0.15">
      <c r="C479" s="29"/>
    </row>
    <row r="480" spans="3:3" ht="15.75" customHeight="1" x14ac:dyDescent="0.15">
      <c r="C480" s="29"/>
    </row>
    <row r="481" spans="3:3" ht="15.75" customHeight="1" x14ac:dyDescent="0.15">
      <c r="C481" s="29"/>
    </row>
    <row r="482" spans="3:3" ht="15.75" customHeight="1" x14ac:dyDescent="0.15">
      <c r="C482" s="29"/>
    </row>
    <row r="483" spans="3:3" ht="15.75" customHeight="1" x14ac:dyDescent="0.15">
      <c r="C483" s="29"/>
    </row>
    <row r="484" spans="3:3" ht="15.75" customHeight="1" x14ac:dyDescent="0.15">
      <c r="C484" s="29"/>
    </row>
    <row r="485" spans="3:3" ht="15.75" customHeight="1" x14ac:dyDescent="0.15">
      <c r="C485" s="29"/>
    </row>
    <row r="486" spans="3:3" ht="15.75" customHeight="1" x14ac:dyDescent="0.15">
      <c r="C486" s="29"/>
    </row>
    <row r="487" spans="3:3" ht="15.75" customHeight="1" x14ac:dyDescent="0.15">
      <c r="C487" s="29"/>
    </row>
    <row r="488" spans="3:3" ht="15.75" customHeight="1" x14ac:dyDescent="0.15">
      <c r="C488" s="29"/>
    </row>
    <row r="489" spans="3:3" ht="15.75" customHeight="1" x14ac:dyDescent="0.15">
      <c r="C489" s="29"/>
    </row>
    <row r="490" spans="3:3" ht="15.75" customHeight="1" x14ac:dyDescent="0.15">
      <c r="C490" s="29"/>
    </row>
    <row r="491" spans="3:3" ht="15.75" customHeight="1" x14ac:dyDescent="0.15">
      <c r="C491" s="29"/>
    </row>
    <row r="492" spans="3:3" ht="15.75" customHeight="1" x14ac:dyDescent="0.15">
      <c r="C492" s="29"/>
    </row>
    <row r="493" spans="3:3" ht="15.75" customHeight="1" x14ac:dyDescent="0.15">
      <c r="C493" s="29"/>
    </row>
    <row r="494" spans="3:3" ht="15.75" customHeight="1" x14ac:dyDescent="0.15">
      <c r="C494" s="29"/>
    </row>
    <row r="495" spans="3:3" ht="15.75" customHeight="1" x14ac:dyDescent="0.15">
      <c r="C495" s="29"/>
    </row>
    <row r="496" spans="3:3" ht="15.75" customHeight="1" x14ac:dyDescent="0.15">
      <c r="C496" s="29"/>
    </row>
    <row r="497" spans="3:3" ht="15.75" customHeight="1" x14ac:dyDescent="0.15">
      <c r="C497" s="29"/>
    </row>
    <row r="498" spans="3:3" ht="15.75" customHeight="1" x14ac:dyDescent="0.15">
      <c r="C498" s="29"/>
    </row>
    <row r="499" spans="3:3" ht="15.75" customHeight="1" x14ac:dyDescent="0.15">
      <c r="C499" s="29"/>
    </row>
    <row r="500" spans="3:3" ht="15.75" customHeight="1" x14ac:dyDescent="0.15">
      <c r="C500" s="29"/>
    </row>
    <row r="501" spans="3:3" ht="15.75" customHeight="1" x14ac:dyDescent="0.15">
      <c r="C501" s="29"/>
    </row>
    <row r="502" spans="3:3" ht="15.75" customHeight="1" x14ac:dyDescent="0.15">
      <c r="C502" s="29"/>
    </row>
    <row r="503" spans="3:3" ht="15.75" customHeight="1" x14ac:dyDescent="0.15">
      <c r="C503" s="29"/>
    </row>
    <row r="504" spans="3:3" ht="15.75" customHeight="1" x14ac:dyDescent="0.15">
      <c r="C504" s="29"/>
    </row>
    <row r="505" spans="3:3" ht="15.75" customHeight="1" x14ac:dyDescent="0.15">
      <c r="C505" s="29"/>
    </row>
    <row r="506" spans="3:3" ht="15.75" customHeight="1" x14ac:dyDescent="0.15">
      <c r="C506" s="29"/>
    </row>
    <row r="507" spans="3:3" ht="15.75" customHeight="1" x14ac:dyDescent="0.15">
      <c r="C507" s="29"/>
    </row>
    <row r="508" spans="3:3" ht="15.75" customHeight="1" x14ac:dyDescent="0.15">
      <c r="C508" s="29"/>
    </row>
    <row r="509" spans="3:3" ht="15.75" customHeight="1" x14ac:dyDescent="0.15">
      <c r="C509" s="29"/>
    </row>
    <row r="510" spans="3:3" ht="15.75" customHeight="1" x14ac:dyDescent="0.15">
      <c r="C510" s="29"/>
    </row>
    <row r="511" spans="3:3" ht="15.75" customHeight="1" x14ac:dyDescent="0.15">
      <c r="C511" s="29"/>
    </row>
    <row r="512" spans="3:3" ht="15.75" customHeight="1" x14ac:dyDescent="0.15">
      <c r="C512" s="29"/>
    </row>
    <row r="513" spans="3:3" ht="15.75" customHeight="1" x14ac:dyDescent="0.15">
      <c r="C513" s="29"/>
    </row>
    <row r="514" spans="3:3" ht="15.75" customHeight="1" x14ac:dyDescent="0.15">
      <c r="C514" s="29"/>
    </row>
    <row r="515" spans="3:3" ht="15.75" customHeight="1" x14ac:dyDescent="0.15">
      <c r="C515" s="29"/>
    </row>
    <row r="516" spans="3:3" ht="15.75" customHeight="1" x14ac:dyDescent="0.15">
      <c r="C516" s="29"/>
    </row>
    <row r="517" spans="3:3" ht="15.75" customHeight="1" x14ac:dyDescent="0.15">
      <c r="C517" s="29"/>
    </row>
    <row r="518" spans="3:3" ht="15.75" customHeight="1" x14ac:dyDescent="0.15">
      <c r="C518" s="29"/>
    </row>
    <row r="519" spans="3:3" ht="15.75" customHeight="1" x14ac:dyDescent="0.15">
      <c r="C519" s="29"/>
    </row>
    <row r="520" spans="3:3" ht="15.75" customHeight="1" x14ac:dyDescent="0.15">
      <c r="C520" s="29"/>
    </row>
    <row r="521" spans="3:3" ht="15.75" customHeight="1" x14ac:dyDescent="0.15">
      <c r="C521" s="29"/>
    </row>
    <row r="522" spans="3:3" ht="15.75" customHeight="1" x14ac:dyDescent="0.15">
      <c r="C522" s="29"/>
    </row>
    <row r="523" spans="3:3" ht="15.75" customHeight="1" x14ac:dyDescent="0.15">
      <c r="C523" s="29"/>
    </row>
    <row r="524" spans="3:3" ht="15.75" customHeight="1" x14ac:dyDescent="0.15">
      <c r="C524" s="29"/>
    </row>
    <row r="525" spans="3:3" ht="15.75" customHeight="1" x14ac:dyDescent="0.15">
      <c r="C525" s="29"/>
    </row>
    <row r="526" spans="3:3" ht="15.75" customHeight="1" x14ac:dyDescent="0.15">
      <c r="C526" s="29"/>
    </row>
    <row r="527" spans="3:3" ht="15.75" customHeight="1" x14ac:dyDescent="0.15">
      <c r="C527" s="29"/>
    </row>
    <row r="528" spans="3:3" ht="15.75" customHeight="1" x14ac:dyDescent="0.15">
      <c r="C528" s="29"/>
    </row>
    <row r="529" spans="3:3" ht="15.75" customHeight="1" x14ac:dyDescent="0.15">
      <c r="C529" s="29"/>
    </row>
    <row r="530" spans="3:3" ht="15.75" customHeight="1" x14ac:dyDescent="0.15">
      <c r="C530" s="29"/>
    </row>
    <row r="531" spans="3:3" ht="15.75" customHeight="1" x14ac:dyDescent="0.15">
      <c r="C531" s="29"/>
    </row>
    <row r="532" spans="3:3" ht="15.75" customHeight="1" x14ac:dyDescent="0.15">
      <c r="C532" s="29"/>
    </row>
    <row r="533" spans="3:3" ht="15.75" customHeight="1" x14ac:dyDescent="0.15">
      <c r="C533" s="29"/>
    </row>
    <row r="534" spans="3:3" ht="15.75" customHeight="1" x14ac:dyDescent="0.15">
      <c r="C534" s="29"/>
    </row>
    <row r="535" spans="3:3" ht="15.75" customHeight="1" x14ac:dyDescent="0.15">
      <c r="C535" s="29"/>
    </row>
    <row r="536" spans="3:3" ht="15.75" customHeight="1" x14ac:dyDescent="0.15">
      <c r="C536" s="29"/>
    </row>
    <row r="537" spans="3:3" ht="15.75" customHeight="1" x14ac:dyDescent="0.15">
      <c r="C537" s="29"/>
    </row>
    <row r="538" spans="3:3" ht="15.75" customHeight="1" x14ac:dyDescent="0.15">
      <c r="C538" s="29"/>
    </row>
    <row r="539" spans="3:3" ht="15.75" customHeight="1" x14ac:dyDescent="0.15">
      <c r="C539" s="29"/>
    </row>
    <row r="540" spans="3:3" ht="15.75" customHeight="1" x14ac:dyDescent="0.15">
      <c r="C540" s="29"/>
    </row>
    <row r="541" spans="3:3" ht="15.75" customHeight="1" x14ac:dyDescent="0.15">
      <c r="C541" s="29"/>
    </row>
    <row r="542" spans="3:3" ht="15.75" customHeight="1" x14ac:dyDescent="0.15">
      <c r="C542" s="29"/>
    </row>
    <row r="543" spans="3:3" ht="15.75" customHeight="1" x14ac:dyDescent="0.15">
      <c r="C543" s="29"/>
    </row>
    <row r="544" spans="3:3" ht="15.75" customHeight="1" x14ac:dyDescent="0.15">
      <c r="C544" s="29"/>
    </row>
    <row r="545" spans="3:3" ht="15.75" customHeight="1" x14ac:dyDescent="0.15">
      <c r="C545" s="29"/>
    </row>
    <row r="546" spans="3:3" ht="15.75" customHeight="1" x14ac:dyDescent="0.15">
      <c r="C546" s="29"/>
    </row>
    <row r="547" spans="3:3" ht="15.75" customHeight="1" x14ac:dyDescent="0.15">
      <c r="C547" s="29"/>
    </row>
    <row r="548" spans="3:3" ht="15.75" customHeight="1" x14ac:dyDescent="0.15">
      <c r="C548" s="29"/>
    </row>
    <row r="549" spans="3:3" ht="15.75" customHeight="1" x14ac:dyDescent="0.15">
      <c r="C549" s="29"/>
    </row>
    <row r="550" spans="3:3" ht="15.75" customHeight="1" x14ac:dyDescent="0.15">
      <c r="C550" s="29"/>
    </row>
    <row r="551" spans="3:3" ht="15.75" customHeight="1" x14ac:dyDescent="0.15">
      <c r="C551" s="29"/>
    </row>
    <row r="552" spans="3:3" ht="15.75" customHeight="1" x14ac:dyDescent="0.15">
      <c r="C552" s="29"/>
    </row>
    <row r="553" spans="3:3" ht="15.75" customHeight="1" x14ac:dyDescent="0.15">
      <c r="C553" s="29"/>
    </row>
    <row r="554" spans="3:3" ht="15.75" customHeight="1" x14ac:dyDescent="0.15">
      <c r="C554" s="29"/>
    </row>
    <row r="555" spans="3:3" ht="15.75" customHeight="1" x14ac:dyDescent="0.15">
      <c r="C555" s="29"/>
    </row>
    <row r="556" spans="3:3" ht="15.75" customHeight="1" x14ac:dyDescent="0.15">
      <c r="C556" s="29"/>
    </row>
    <row r="557" spans="3:3" ht="15.75" customHeight="1" x14ac:dyDescent="0.15">
      <c r="C557" s="29"/>
    </row>
    <row r="558" spans="3:3" ht="15.75" customHeight="1" x14ac:dyDescent="0.15">
      <c r="C558" s="29"/>
    </row>
    <row r="559" spans="3:3" ht="15.75" customHeight="1" x14ac:dyDescent="0.15">
      <c r="C559" s="29"/>
    </row>
    <row r="560" spans="3:3" ht="15.75" customHeight="1" x14ac:dyDescent="0.15">
      <c r="C560" s="29"/>
    </row>
    <row r="561" spans="3:3" ht="15.75" customHeight="1" x14ac:dyDescent="0.15">
      <c r="C561" s="29"/>
    </row>
    <row r="562" spans="3:3" ht="15.75" customHeight="1" x14ac:dyDescent="0.15">
      <c r="C562" s="29"/>
    </row>
    <row r="563" spans="3:3" ht="15.75" customHeight="1" x14ac:dyDescent="0.15">
      <c r="C563" s="29"/>
    </row>
    <row r="564" spans="3:3" ht="15.75" customHeight="1" x14ac:dyDescent="0.15">
      <c r="C564" s="29"/>
    </row>
    <row r="565" spans="3:3" ht="15.75" customHeight="1" x14ac:dyDescent="0.15">
      <c r="C565" s="29"/>
    </row>
    <row r="566" spans="3:3" ht="15.75" customHeight="1" x14ac:dyDescent="0.15">
      <c r="C566" s="29"/>
    </row>
    <row r="567" spans="3:3" ht="15.75" customHeight="1" x14ac:dyDescent="0.15">
      <c r="C567" s="29"/>
    </row>
    <row r="568" spans="3:3" ht="15.75" customHeight="1" x14ac:dyDescent="0.15">
      <c r="C568" s="29"/>
    </row>
    <row r="569" spans="3:3" ht="15.75" customHeight="1" x14ac:dyDescent="0.15">
      <c r="C569" s="29"/>
    </row>
    <row r="570" spans="3:3" ht="15.75" customHeight="1" x14ac:dyDescent="0.15">
      <c r="C570" s="29"/>
    </row>
    <row r="571" spans="3:3" ht="15.75" customHeight="1" x14ac:dyDescent="0.15">
      <c r="C571" s="29"/>
    </row>
    <row r="572" spans="3:3" ht="15.75" customHeight="1" x14ac:dyDescent="0.15">
      <c r="C572" s="29"/>
    </row>
    <row r="573" spans="3:3" ht="15.75" customHeight="1" x14ac:dyDescent="0.15">
      <c r="C573" s="29"/>
    </row>
    <row r="574" spans="3:3" ht="15.75" customHeight="1" x14ac:dyDescent="0.15">
      <c r="C574" s="29"/>
    </row>
    <row r="575" spans="3:3" ht="15.75" customHeight="1" x14ac:dyDescent="0.15">
      <c r="C575" s="29"/>
    </row>
    <row r="576" spans="3:3" ht="15.75" customHeight="1" x14ac:dyDescent="0.15">
      <c r="C576" s="29"/>
    </row>
    <row r="577" spans="3:3" ht="15.75" customHeight="1" x14ac:dyDescent="0.15">
      <c r="C577" s="29"/>
    </row>
    <row r="578" spans="3:3" ht="15.75" customHeight="1" x14ac:dyDescent="0.15">
      <c r="C578" s="29"/>
    </row>
    <row r="579" spans="3:3" ht="15.75" customHeight="1" x14ac:dyDescent="0.15">
      <c r="C579" s="29"/>
    </row>
    <row r="580" spans="3:3" ht="15.75" customHeight="1" x14ac:dyDescent="0.15">
      <c r="C580" s="29"/>
    </row>
    <row r="581" spans="3:3" ht="15.75" customHeight="1" x14ac:dyDescent="0.15">
      <c r="C581" s="29"/>
    </row>
    <row r="582" spans="3:3" ht="15.75" customHeight="1" x14ac:dyDescent="0.15">
      <c r="C582" s="29"/>
    </row>
    <row r="583" spans="3:3" ht="15.75" customHeight="1" x14ac:dyDescent="0.15">
      <c r="C583" s="29"/>
    </row>
    <row r="584" spans="3:3" ht="15.75" customHeight="1" x14ac:dyDescent="0.15">
      <c r="C584" s="29"/>
    </row>
    <row r="585" spans="3:3" ht="15.75" customHeight="1" x14ac:dyDescent="0.15">
      <c r="C585" s="29"/>
    </row>
    <row r="586" spans="3:3" ht="15.75" customHeight="1" x14ac:dyDescent="0.15">
      <c r="C586" s="29"/>
    </row>
    <row r="587" spans="3:3" ht="15.75" customHeight="1" x14ac:dyDescent="0.15">
      <c r="C587" s="29"/>
    </row>
    <row r="588" spans="3:3" ht="15.75" customHeight="1" x14ac:dyDescent="0.15">
      <c r="C588" s="29"/>
    </row>
    <row r="589" spans="3:3" ht="15.75" customHeight="1" x14ac:dyDescent="0.15">
      <c r="C589" s="29"/>
    </row>
    <row r="590" spans="3:3" ht="15.75" customHeight="1" x14ac:dyDescent="0.15">
      <c r="C590" s="29"/>
    </row>
    <row r="591" spans="3:3" ht="15.75" customHeight="1" x14ac:dyDescent="0.15">
      <c r="C591" s="29"/>
    </row>
    <row r="592" spans="3:3" ht="15.75" customHeight="1" x14ac:dyDescent="0.15">
      <c r="C592" s="29"/>
    </row>
    <row r="593" spans="3:3" ht="15.75" customHeight="1" x14ac:dyDescent="0.15">
      <c r="C593" s="29"/>
    </row>
    <row r="594" spans="3:3" ht="15.75" customHeight="1" x14ac:dyDescent="0.15">
      <c r="C594" s="29"/>
    </row>
    <row r="595" spans="3:3" ht="15.75" customHeight="1" x14ac:dyDescent="0.15">
      <c r="C595" s="29"/>
    </row>
    <row r="596" spans="3:3" ht="15.75" customHeight="1" x14ac:dyDescent="0.15">
      <c r="C596" s="29"/>
    </row>
    <row r="597" spans="3:3" ht="15.75" customHeight="1" x14ac:dyDescent="0.15">
      <c r="C597" s="29"/>
    </row>
    <row r="598" spans="3:3" ht="15.75" customHeight="1" x14ac:dyDescent="0.15">
      <c r="C598" s="29"/>
    </row>
    <row r="599" spans="3:3" ht="15.75" customHeight="1" x14ac:dyDescent="0.15">
      <c r="C599" s="29"/>
    </row>
    <row r="600" spans="3:3" ht="15.75" customHeight="1" x14ac:dyDescent="0.15">
      <c r="C600" s="29"/>
    </row>
    <row r="601" spans="3:3" ht="15.75" customHeight="1" x14ac:dyDescent="0.15">
      <c r="C601" s="29"/>
    </row>
    <row r="602" spans="3:3" ht="15.75" customHeight="1" x14ac:dyDescent="0.15">
      <c r="C602" s="29"/>
    </row>
    <row r="603" spans="3:3" ht="15.75" customHeight="1" x14ac:dyDescent="0.15">
      <c r="C603" s="29"/>
    </row>
    <row r="604" spans="3:3" ht="15.75" customHeight="1" x14ac:dyDescent="0.15">
      <c r="C604" s="29"/>
    </row>
    <row r="605" spans="3:3" ht="15.75" customHeight="1" x14ac:dyDescent="0.15">
      <c r="C605" s="29"/>
    </row>
    <row r="606" spans="3:3" ht="15.75" customHeight="1" x14ac:dyDescent="0.15">
      <c r="C606" s="29"/>
    </row>
    <row r="607" spans="3:3" ht="15.75" customHeight="1" x14ac:dyDescent="0.15">
      <c r="C607" s="29"/>
    </row>
    <row r="608" spans="3:3" ht="15.75" customHeight="1" x14ac:dyDescent="0.15">
      <c r="C608" s="29"/>
    </row>
    <row r="609" spans="3:3" ht="15.75" customHeight="1" x14ac:dyDescent="0.15">
      <c r="C609" s="29"/>
    </row>
    <row r="610" spans="3:3" ht="15.75" customHeight="1" x14ac:dyDescent="0.15">
      <c r="C610" s="29"/>
    </row>
    <row r="611" spans="3:3" ht="15.75" customHeight="1" x14ac:dyDescent="0.15">
      <c r="C611" s="29"/>
    </row>
    <row r="612" spans="3:3" ht="15.75" customHeight="1" x14ac:dyDescent="0.15">
      <c r="C612" s="29"/>
    </row>
    <row r="613" spans="3:3" ht="15.75" customHeight="1" x14ac:dyDescent="0.15">
      <c r="C613" s="29"/>
    </row>
    <row r="614" spans="3:3" ht="15.75" customHeight="1" x14ac:dyDescent="0.15">
      <c r="C614" s="29"/>
    </row>
    <row r="615" spans="3:3" ht="15.75" customHeight="1" x14ac:dyDescent="0.15">
      <c r="C615" s="29"/>
    </row>
    <row r="616" spans="3:3" ht="15.75" customHeight="1" x14ac:dyDescent="0.15">
      <c r="C616" s="29"/>
    </row>
    <row r="617" spans="3:3" ht="15.75" customHeight="1" x14ac:dyDescent="0.15">
      <c r="C617" s="29"/>
    </row>
    <row r="618" spans="3:3" ht="15.75" customHeight="1" x14ac:dyDescent="0.15">
      <c r="C618" s="29"/>
    </row>
    <row r="619" spans="3:3" ht="15.75" customHeight="1" x14ac:dyDescent="0.15">
      <c r="C619" s="29"/>
    </row>
    <row r="620" spans="3:3" ht="15.75" customHeight="1" x14ac:dyDescent="0.15">
      <c r="C620" s="29"/>
    </row>
    <row r="621" spans="3:3" ht="15.75" customHeight="1" x14ac:dyDescent="0.15">
      <c r="C621" s="29"/>
    </row>
    <row r="622" spans="3:3" ht="15.75" customHeight="1" x14ac:dyDescent="0.15">
      <c r="C622" s="29"/>
    </row>
    <row r="623" spans="3:3" ht="15.75" customHeight="1" x14ac:dyDescent="0.15">
      <c r="C623" s="29"/>
    </row>
    <row r="624" spans="3:3" ht="15.75" customHeight="1" x14ac:dyDescent="0.15">
      <c r="C624" s="29"/>
    </row>
    <row r="625" spans="3:3" ht="15.75" customHeight="1" x14ac:dyDescent="0.15">
      <c r="C625" s="29"/>
    </row>
    <row r="626" spans="3:3" ht="15.75" customHeight="1" x14ac:dyDescent="0.15">
      <c r="C626" s="29"/>
    </row>
    <row r="627" spans="3:3" ht="15.75" customHeight="1" x14ac:dyDescent="0.15">
      <c r="C627" s="29"/>
    </row>
    <row r="628" spans="3:3" ht="15.75" customHeight="1" x14ac:dyDescent="0.15">
      <c r="C628" s="29"/>
    </row>
    <row r="629" spans="3:3" ht="15.75" customHeight="1" x14ac:dyDescent="0.15">
      <c r="C629" s="29"/>
    </row>
    <row r="630" spans="3:3" ht="15.75" customHeight="1" x14ac:dyDescent="0.15">
      <c r="C630" s="29"/>
    </row>
    <row r="631" spans="3:3" ht="15.75" customHeight="1" x14ac:dyDescent="0.15">
      <c r="C631" s="29"/>
    </row>
    <row r="632" spans="3:3" ht="15.75" customHeight="1" x14ac:dyDescent="0.15">
      <c r="C632" s="29"/>
    </row>
    <row r="633" spans="3:3" ht="15.75" customHeight="1" x14ac:dyDescent="0.15">
      <c r="C633" s="29"/>
    </row>
    <row r="634" spans="3:3" ht="15.75" customHeight="1" x14ac:dyDescent="0.15">
      <c r="C634" s="29"/>
    </row>
    <row r="635" spans="3:3" ht="15.75" customHeight="1" x14ac:dyDescent="0.15">
      <c r="C635" s="29"/>
    </row>
    <row r="636" spans="3:3" ht="15.75" customHeight="1" x14ac:dyDescent="0.15">
      <c r="C636" s="29"/>
    </row>
    <row r="637" spans="3:3" ht="15.75" customHeight="1" x14ac:dyDescent="0.15">
      <c r="C637" s="29"/>
    </row>
    <row r="638" spans="3:3" ht="15.75" customHeight="1" x14ac:dyDescent="0.15">
      <c r="C638" s="29"/>
    </row>
    <row r="639" spans="3:3" ht="15.75" customHeight="1" x14ac:dyDescent="0.15">
      <c r="C639" s="29"/>
    </row>
    <row r="640" spans="3:3" ht="15.75" customHeight="1" x14ac:dyDescent="0.15">
      <c r="C640" s="29"/>
    </row>
    <row r="641" spans="3:3" ht="15.75" customHeight="1" x14ac:dyDescent="0.15">
      <c r="C641" s="29"/>
    </row>
    <row r="642" spans="3:3" ht="15.75" customHeight="1" x14ac:dyDescent="0.15">
      <c r="C642" s="29"/>
    </row>
    <row r="643" spans="3:3" ht="15.75" customHeight="1" x14ac:dyDescent="0.15">
      <c r="C643" s="29"/>
    </row>
    <row r="644" spans="3:3" ht="15.75" customHeight="1" x14ac:dyDescent="0.15">
      <c r="C644" s="29"/>
    </row>
    <row r="645" spans="3:3" ht="15.75" customHeight="1" x14ac:dyDescent="0.15">
      <c r="C645" s="29"/>
    </row>
    <row r="646" spans="3:3" ht="15.75" customHeight="1" x14ac:dyDescent="0.15">
      <c r="C646" s="29"/>
    </row>
    <row r="647" spans="3:3" ht="15.75" customHeight="1" x14ac:dyDescent="0.15">
      <c r="C647" s="29"/>
    </row>
    <row r="648" spans="3:3" ht="15.75" customHeight="1" x14ac:dyDescent="0.15">
      <c r="C648" s="29"/>
    </row>
    <row r="649" spans="3:3" ht="15.75" customHeight="1" x14ac:dyDescent="0.15">
      <c r="C649" s="29"/>
    </row>
    <row r="650" spans="3:3" ht="15.75" customHeight="1" x14ac:dyDescent="0.15">
      <c r="C650" s="29"/>
    </row>
    <row r="651" spans="3:3" ht="15.75" customHeight="1" x14ac:dyDescent="0.15">
      <c r="C651" s="29"/>
    </row>
    <row r="652" spans="3:3" ht="15.75" customHeight="1" x14ac:dyDescent="0.15">
      <c r="C652" s="29"/>
    </row>
    <row r="653" spans="3:3" ht="15.75" customHeight="1" x14ac:dyDescent="0.15">
      <c r="C653" s="29"/>
    </row>
    <row r="654" spans="3:3" ht="15.75" customHeight="1" x14ac:dyDescent="0.15">
      <c r="C654" s="29"/>
    </row>
    <row r="655" spans="3:3" ht="15.75" customHeight="1" x14ac:dyDescent="0.15">
      <c r="C655" s="29"/>
    </row>
    <row r="656" spans="3:3" ht="15.75" customHeight="1" x14ac:dyDescent="0.15">
      <c r="C656" s="29"/>
    </row>
    <row r="657" spans="3:3" ht="15.75" customHeight="1" x14ac:dyDescent="0.15">
      <c r="C657" s="29"/>
    </row>
    <row r="658" spans="3:3" ht="15.75" customHeight="1" x14ac:dyDescent="0.15">
      <c r="C658" s="29"/>
    </row>
    <row r="659" spans="3:3" ht="15.75" customHeight="1" x14ac:dyDescent="0.15">
      <c r="C659" s="29"/>
    </row>
    <row r="660" spans="3:3" ht="15.75" customHeight="1" x14ac:dyDescent="0.15">
      <c r="C660" s="29"/>
    </row>
    <row r="661" spans="3:3" ht="15.75" customHeight="1" x14ac:dyDescent="0.15">
      <c r="C661" s="29"/>
    </row>
    <row r="662" spans="3:3" ht="15.75" customHeight="1" x14ac:dyDescent="0.15">
      <c r="C662" s="29"/>
    </row>
    <row r="663" spans="3:3" ht="15.75" customHeight="1" x14ac:dyDescent="0.15">
      <c r="C663" s="29"/>
    </row>
    <row r="664" spans="3:3" ht="15.75" customHeight="1" x14ac:dyDescent="0.15">
      <c r="C664" s="29"/>
    </row>
    <row r="665" spans="3:3" ht="15.75" customHeight="1" x14ac:dyDescent="0.15">
      <c r="C665" s="29"/>
    </row>
    <row r="666" spans="3:3" ht="15.75" customHeight="1" x14ac:dyDescent="0.15">
      <c r="C666" s="29"/>
    </row>
    <row r="667" spans="3:3" ht="15.75" customHeight="1" x14ac:dyDescent="0.15">
      <c r="C667" s="29"/>
    </row>
    <row r="668" spans="3:3" ht="15.75" customHeight="1" x14ac:dyDescent="0.15">
      <c r="C668" s="29"/>
    </row>
    <row r="669" spans="3:3" ht="15.75" customHeight="1" x14ac:dyDescent="0.15">
      <c r="C669" s="29"/>
    </row>
    <row r="670" spans="3:3" ht="15.75" customHeight="1" x14ac:dyDescent="0.15">
      <c r="C670" s="29"/>
    </row>
    <row r="671" spans="3:3" ht="15.75" customHeight="1" x14ac:dyDescent="0.15">
      <c r="C671" s="29"/>
    </row>
    <row r="672" spans="3:3" ht="15.75" customHeight="1" x14ac:dyDescent="0.15">
      <c r="C672" s="29"/>
    </row>
    <row r="673" spans="3:3" ht="15.75" customHeight="1" x14ac:dyDescent="0.15">
      <c r="C673" s="29"/>
    </row>
    <row r="674" spans="3:3" ht="15.75" customHeight="1" x14ac:dyDescent="0.15">
      <c r="C674" s="29"/>
    </row>
    <row r="675" spans="3:3" ht="15.75" customHeight="1" x14ac:dyDescent="0.15">
      <c r="C675" s="29"/>
    </row>
    <row r="676" spans="3:3" ht="15.75" customHeight="1" x14ac:dyDescent="0.15">
      <c r="C676" s="29"/>
    </row>
    <row r="677" spans="3:3" ht="15.75" customHeight="1" x14ac:dyDescent="0.15">
      <c r="C677" s="29"/>
    </row>
    <row r="678" spans="3:3" ht="15.75" customHeight="1" x14ac:dyDescent="0.15">
      <c r="C678" s="29"/>
    </row>
    <row r="679" spans="3:3" ht="15.75" customHeight="1" x14ac:dyDescent="0.15">
      <c r="C679" s="29"/>
    </row>
    <row r="680" spans="3:3" ht="15.75" customHeight="1" x14ac:dyDescent="0.15">
      <c r="C680" s="29"/>
    </row>
    <row r="681" spans="3:3" ht="15.75" customHeight="1" x14ac:dyDescent="0.15">
      <c r="C681" s="29"/>
    </row>
    <row r="682" spans="3:3" ht="15.75" customHeight="1" x14ac:dyDescent="0.15">
      <c r="C682" s="29"/>
    </row>
    <row r="683" spans="3:3" ht="15.75" customHeight="1" x14ac:dyDescent="0.15">
      <c r="C683" s="29"/>
    </row>
    <row r="684" spans="3:3" ht="15.75" customHeight="1" x14ac:dyDescent="0.15">
      <c r="C684" s="29"/>
    </row>
    <row r="685" spans="3:3" ht="15.75" customHeight="1" x14ac:dyDescent="0.15">
      <c r="C685" s="29"/>
    </row>
    <row r="686" spans="3:3" ht="15.75" customHeight="1" x14ac:dyDescent="0.15">
      <c r="C686" s="29"/>
    </row>
    <row r="687" spans="3:3" ht="15.75" customHeight="1" x14ac:dyDescent="0.15">
      <c r="C687" s="29"/>
    </row>
    <row r="688" spans="3:3" ht="15.75" customHeight="1" x14ac:dyDescent="0.15">
      <c r="C688" s="29"/>
    </row>
    <row r="689" spans="3:3" ht="15.75" customHeight="1" x14ac:dyDescent="0.15">
      <c r="C689" s="29"/>
    </row>
    <row r="690" spans="3:3" ht="15.75" customHeight="1" x14ac:dyDescent="0.15">
      <c r="C690" s="29"/>
    </row>
    <row r="691" spans="3:3" ht="15.75" customHeight="1" x14ac:dyDescent="0.15">
      <c r="C691" s="29"/>
    </row>
    <row r="692" spans="3:3" ht="15.75" customHeight="1" x14ac:dyDescent="0.15">
      <c r="C692" s="29"/>
    </row>
    <row r="693" spans="3:3" ht="15.75" customHeight="1" x14ac:dyDescent="0.15">
      <c r="C693" s="29"/>
    </row>
    <row r="694" spans="3:3" ht="15.75" customHeight="1" x14ac:dyDescent="0.15">
      <c r="C694" s="29"/>
    </row>
    <row r="695" spans="3:3" ht="15.75" customHeight="1" x14ac:dyDescent="0.15">
      <c r="C695" s="29"/>
    </row>
    <row r="696" spans="3:3" ht="15.75" customHeight="1" x14ac:dyDescent="0.15">
      <c r="C696" s="29"/>
    </row>
    <row r="697" spans="3:3" ht="15.75" customHeight="1" x14ac:dyDescent="0.15">
      <c r="C697" s="29"/>
    </row>
    <row r="698" spans="3:3" ht="15.75" customHeight="1" x14ac:dyDescent="0.15">
      <c r="C698" s="29"/>
    </row>
    <row r="699" spans="3:3" ht="15.75" customHeight="1" x14ac:dyDescent="0.15">
      <c r="C699" s="29"/>
    </row>
    <row r="700" spans="3:3" ht="15.75" customHeight="1" x14ac:dyDescent="0.15">
      <c r="C700" s="29"/>
    </row>
    <row r="701" spans="3:3" ht="15.75" customHeight="1" x14ac:dyDescent="0.15">
      <c r="C701" s="29"/>
    </row>
    <row r="702" spans="3:3" ht="15.75" customHeight="1" x14ac:dyDescent="0.15">
      <c r="C702" s="29"/>
    </row>
    <row r="703" spans="3:3" ht="15.75" customHeight="1" x14ac:dyDescent="0.15">
      <c r="C703" s="29"/>
    </row>
    <row r="704" spans="3:3" ht="15.75" customHeight="1" x14ac:dyDescent="0.15">
      <c r="C704" s="29"/>
    </row>
    <row r="705" spans="3:3" ht="15.75" customHeight="1" x14ac:dyDescent="0.15">
      <c r="C705" s="29"/>
    </row>
    <row r="706" spans="3:3" ht="15.75" customHeight="1" x14ac:dyDescent="0.15">
      <c r="C706" s="29"/>
    </row>
    <row r="707" spans="3:3" ht="15.75" customHeight="1" x14ac:dyDescent="0.15">
      <c r="C707" s="29"/>
    </row>
    <row r="708" spans="3:3" ht="15.75" customHeight="1" x14ac:dyDescent="0.15">
      <c r="C708" s="29"/>
    </row>
    <row r="709" spans="3:3" ht="15.75" customHeight="1" x14ac:dyDescent="0.15">
      <c r="C709" s="29"/>
    </row>
    <row r="710" spans="3:3" ht="15.75" customHeight="1" x14ac:dyDescent="0.15">
      <c r="C710" s="29"/>
    </row>
    <row r="711" spans="3:3" ht="15.75" customHeight="1" x14ac:dyDescent="0.15">
      <c r="C711" s="29"/>
    </row>
    <row r="712" spans="3:3" ht="15.75" customHeight="1" x14ac:dyDescent="0.15">
      <c r="C712" s="29"/>
    </row>
    <row r="713" spans="3:3" ht="15.75" customHeight="1" x14ac:dyDescent="0.15">
      <c r="C713" s="29"/>
    </row>
    <row r="714" spans="3:3" ht="15.75" customHeight="1" x14ac:dyDescent="0.15">
      <c r="C714" s="29"/>
    </row>
    <row r="715" spans="3:3" ht="15.75" customHeight="1" x14ac:dyDescent="0.15">
      <c r="C715" s="29"/>
    </row>
    <row r="716" spans="3:3" ht="15.75" customHeight="1" x14ac:dyDescent="0.15">
      <c r="C716" s="29"/>
    </row>
    <row r="717" spans="3:3" ht="15.75" customHeight="1" x14ac:dyDescent="0.15">
      <c r="C717" s="29"/>
    </row>
    <row r="718" spans="3:3" ht="15.75" customHeight="1" x14ac:dyDescent="0.15">
      <c r="C718" s="29"/>
    </row>
    <row r="719" spans="3:3" ht="15.75" customHeight="1" x14ac:dyDescent="0.15">
      <c r="C719" s="29"/>
    </row>
    <row r="720" spans="3:3" ht="15.75" customHeight="1" x14ac:dyDescent="0.15">
      <c r="C720" s="29"/>
    </row>
    <row r="721" spans="3:3" ht="15.75" customHeight="1" x14ac:dyDescent="0.15">
      <c r="C721" s="29"/>
    </row>
    <row r="722" spans="3:3" ht="15.75" customHeight="1" x14ac:dyDescent="0.15">
      <c r="C722" s="29"/>
    </row>
    <row r="723" spans="3:3" ht="15.75" customHeight="1" x14ac:dyDescent="0.15">
      <c r="C723" s="29"/>
    </row>
    <row r="724" spans="3:3" ht="15.75" customHeight="1" x14ac:dyDescent="0.15">
      <c r="C724" s="29"/>
    </row>
    <row r="725" spans="3:3" ht="15.75" customHeight="1" x14ac:dyDescent="0.15">
      <c r="C725" s="29"/>
    </row>
    <row r="726" spans="3:3" ht="15.75" customHeight="1" x14ac:dyDescent="0.15">
      <c r="C726" s="29"/>
    </row>
    <row r="727" spans="3:3" ht="15.75" customHeight="1" x14ac:dyDescent="0.15">
      <c r="C727" s="29"/>
    </row>
    <row r="728" spans="3:3" ht="15.75" customHeight="1" x14ac:dyDescent="0.15">
      <c r="C728" s="29"/>
    </row>
    <row r="729" spans="3:3" ht="15.75" customHeight="1" x14ac:dyDescent="0.15">
      <c r="C729" s="29"/>
    </row>
    <row r="730" spans="3:3" ht="15.75" customHeight="1" x14ac:dyDescent="0.15">
      <c r="C730" s="29"/>
    </row>
    <row r="731" spans="3:3" ht="15.75" customHeight="1" x14ac:dyDescent="0.15">
      <c r="C731" s="29"/>
    </row>
    <row r="732" spans="3:3" ht="15.75" customHeight="1" x14ac:dyDescent="0.15">
      <c r="C732" s="29"/>
    </row>
    <row r="733" spans="3:3" ht="15.75" customHeight="1" x14ac:dyDescent="0.15">
      <c r="C733" s="29"/>
    </row>
    <row r="734" spans="3:3" ht="15.75" customHeight="1" x14ac:dyDescent="0.15">
      <c r="C734" s="29"/>
    </row>
    <row r="735" spans="3:3" ht="15.75" customHeight="1" x14ac:dyDescent="0.15">
      <c r="C735" s="29"/>
    </row>
    <row r="736" spans="3:3" ht="15.75" customHeight="1" x14ac:dyDescent="0.15">
      <c r="C736" s="29"/>
    </row>
    <row r="737" spans="3:3" ht="15.75" customHeight="1" x14ac:dyDescent="0.15">
      <c r="C737" s="29"/>
    </row>
    <row r="738" spans="3:3" ht="15.75" customHeight="1" x14ac:dyDescent="0.15">
      <c r="C738" s="29"/>
    </row>
    <row r="739" spans="3:3" ht="15.75" customHeight="1" x14ac:dyDescent="0.15">
      <c r="C739" s="29"/>
    </row>
    <row r="740" spans="3:3" ht="15.75" customHeight="1" x14ac:dyDescent="0.15">
      <c r="C740" s="29"/>
    </row>
    <row r="741" spans="3:3" ht="15.75" customHeight="1" x14ac:dyDescent="0.15">
      <c r="C741" s="29"/>
    </row>
    <row r="742" spans="3:3" ht="15.75" customHeight="1" x14ac:dyDescent="0.15">
      <c r="C742" s="29"/>
    </row>
    <row r="743" spans="3:3" ht="15.75" customHeight="1" x14ac:dyDescent="0.15">
      <c r="C743" s="29"/>
    </row>
    <row r="744" spans="3:3" ht="15.75" customHeight="1" x14ac:dyDescent="0.15">
      <c r="C744" s="29"/>
    </row>
    <row r="745" spans="3:3" ht="15.75" customHeight="1" x14ac:dyDescent="0.15">
      <c r="C745" s="29"/>
    </row>
    <row r="746" spans="3:3" ht="15.75" customHeight="1" x14ac:dyDescent="0.15">
      <c r="C746" s="29"/>
    </row>
    <row r="747" spans="3:3" ht="15.75" customHeight="1" x14ac:dyDescent="0.15">
      <c r="C747" s="29"/>
    </row>
    <row r="748" spans="3:3" ht="15.75" customHeight="1" x14ac:dyDescent="0.15">
      <c r="C748" s="29"/>
    </row>
    <row r="749" spans="3:3" ht="15.75" customHeight="1" x14ac:dyDescent="0.15">
      <c r="C749" s="29"/>
    </row>
    <row r="750" spans="3:3" ht="15.75" customHeight="1" x14ac:dyDescent="0.15">
      <c r="C750" s="29"/>
    </row>
    <row r="751" spans="3:3" ht="15.75" customHeight="1" x14ac:dyDescent="0.15">
      <c r="C751" s="29"/>
    </row>
    <row r="752" spans="3:3" ht="15.75" customHeight="1" x14ac:dyDescent="0.15">
      <c r="C752" s="29"/>
    </row>
    <row r="753" spans="3:3" ht="15.75" customHeight="1" x14ac:dyDescent="0.15">
      <c r="C753" s="29"/>
    </row>
    <row r="754" spans="3:3" ht="15.75" customHeight="1" x14ac:dyDescent="0.15">
      <c r="C754" s="29"/>
    </row>
    <row r="755" spans="3:3" ht="15.75" customHeight="1" x14ac:dyDescent="0.15">
      <c r="C755" s="29"/>
    </row>
    <row r="756" spans="3:3" ht="15.75" customHeight="1" x14ac:dyDescent="0.15">
      <c r="C756" s="29"/>
    </row>
    <row r="757" spans="3:3" ht="15.75" customHeight="1" x14ac:dyDescent="0.15">
      <c r="C757" s="29"/>
    </row>
    <row r="758" spans="3:3" ht="15.75" customHeight="1" x14ac:dyDescent="0.15">
      <c r="C758" s="29"/>
    </row>
    <row r="759" spans="3:3" ht="15.75" customHeight="1" x14ac:dyDescent="0.15">
      <c r="C759" s="29"/>
    </row>
    <row r="760" spans="3:3" ht="15.75" customHeight="1" x14ac:dyDescent="0.15">
      <c r="C760" s="29"/>
    </row>
    <row r="761" spans="3:3" ht="15.75" customHeight="1" x14ac:dyDescent="0.15">
      <c r="C761" s="29"/>
    </row>
    <row r="762" spans="3:3" ht="15.75" customHeight="1" x14ac:dyDescent="0.15">
      <c r="C762" s="29"/>
    </row>
    <row r="763" spans="3:3" ht="15.75" customHeight="1" x14ac:dyDescent="0.15">
      <c r="C763" s="29"/>
    </row>
    <row r="764" spans="3:3" ht="15.75" customHeight="1" x14ac:dyDescent="0.15">
      <c r="C764" s="29"/>
    </row>
    <row r="765" spans="3:3" ht="15.75" customHeight="1" x14ac:dyDescent="0.15">
      <c r="C765" s="29"/>
    </row>
    <row r="766" spans="3:3" ht="15.75" customHeight="1" x14ac:dyDescent="0.15">
      <c r="C766" s="29"/>
    </row>
    <row r="767" spans="3:3" ht="15.75" customHeight="1" x14ac:dyDescent="0.15">
      <c r="C767" s="29"/>
    </row>
    <row r="768" spans="3:3" ht="15.75" customHeight="1" x14ac:dyDescent="0.15">
      <c r="C768" s="29"/>
    </row>
    <row r="769" spans="3:3" ht="15.75" customHeight="1" x14ac:dyDescent="0.15">
      <c r="C769" s="29"/>
    </row>
    <row r="770" spans="3:3" ht="15.75" customHeight="1" x14ac:dyDescent="0.15">
      <c r="C770" s="29"/>
    </row>
    <row r="771" spans="3:3" ht="15.75" customHeight="1" x14ac:dyDescent="0.15">
      <c r="C771" s="29"/>
    </row>
    <row r="772" spans="3:3" ht="15.75" customHeight="1" x14ac:dyDescent="0.15">
      <c r="C772" s="29"/>
    </row>
    <row r="773" spans="3:3" ht="15.75" customHeight="1" x14ac:dyDescent="0.15">
      <c r="C773" s="29"/>
    </row>
    <row r="774" spans="3:3" ht="15.75" customHeight="1" x14ac:dyDescent="0.15">
      <c r="C774" s="29"/>
    </row>
    <row r="775" spans="3:3" ht="15.75" customHeight="1" x14ac:dyDescent="0.15">
      <c r="C775" s="29"/>
    </row>
    <row r="776" spans="3:3" ht="15.75" customHeight="1" x14ac:dyDescent="0.15">
      <c r="C776" s="29"/>
    </row>
    <row r="777" spans="3:3" ht="15.75" customHeight="1" x14ac:dyDescent="0.15">
      <c r="C777" s="29"/>
    </row>
    <row r="778" spans="3:3" ht="15.75" customHeight="1" x14ac:dyDescent="0.15">
      <c r="C778" s="29"/>
    </row>
    <row r="779" spans="3:3" ht="15.75" customHeight="1" x14ac:dyDescent="0.15">
      <c r="C779" s="29"/>
    </row>
    <row r="780" spans="3:3" ht="15.75" customHeight="1" x14ac:dyDescent="0.15">
      <c r="C780" s="29"/>
    </row>
    <row r="781" spans="3:3" ht="15.75" customHeight="1" x14ac:dyDescent="0.15">
      <c r="C781" s="29"/>
    </row>
    <row r="782" spans="3:3" ht="15.75" customHeight="1" x14ac:dyDescent="0.15">
      <c r="C782" s="29"/>
    </row>
    <row r="783" spans="3:3" ht="15.75" customHeight="1" x14ac:dyDescent="0.15">
      <c r="C783" s="29"/>
    </row>
    <row r="784" spans="3:3" ht="15.75" customHeight="1" x14ac:dyDescent="0.15">
      <c r="C784" s="29"/>
    </row>
    <row r="785" spans="3:3" ht="15.75" customHeight="1" x14ac:dyDescent="0.15">
      <c r="C785" s="29"/>
    </row>
    <row r="786" spans="3:3" ht="15.75" customHeight="1" x14ac:dyDescent="0.15">
      <c r="C786" s="29"/>
    </row>
    <row r="787" spans="3:3" ht="15.75" customHeight="1" x14ac:dyDescent="0.15">
      <c r="C787" s="29"/>
    </row>
    <row r="788" spans="3:3" ht="15.75" customHeight="1" x14ac:dyDescent="0.15">
      <c r="C788" s="29"/>
    </row>
    <row r="789" spans="3:3" ht="15.75" customHeight="1" x14ac:dyDescent="0.15">
      <c r="C789" s="29"/>
    </row>
    <row r="790" spans="3:3" ht="15.75" customHeight="1" x14ac:dyDescent="0.15">
      <c r="C790" s="29"/>
    </row>
    <row r="791" spans="3:3" ht="15.75" customHeight="1" x14ac:dyDescent="0.15">
      <c r="C791" s="29"/>
    </row>
    <row r="792" spans="3:3" ht="15.75" customHeight="1" x14ac:dyDescent="0.15">
      <c r="C792" s="29"/>
    </row>
    <row r="793" spans="3:3" ht="15.75" customHeight="1" x14ac:dyDescent="0.15">
      <c r="C793" s="29"/>
    </row>
    <row r="794" spans="3:3" ht="15.75" customHeight="1" x14ac:dyDescent="0.15">
      <c r="C794" s="29"/>
    </row>
    <row r="795" spans="3:3" ht="15.75" customHeight="1" x14ac:dyDescent="0.15">
      <c r="C795" s="29"/>
    </row>
    <row r="796" spans="3:3" ht="15.75" customHeight="1" x14ac:dyDescent="0.15">
      <c r="C796" s="29"/>
    </row>
    <row r="797" spans="3:3" ht="15.75" customHeight="1" x14ac:dyDescent="0.15">
      <c r="C797" s="29"/>
    </row>
    <row r="798" spans="3:3" ht="15.75" customHeight="1" x14ac:dyDescent="0.15">
      <c r="C798" s="29"/>
    </row>
    <row r="799" spans="3:3" ht="15.75" customHeight="1" x14ac:dyDescent="0.15">
      <c r="C799" s="29"/>
    </row>
    <row r="800" spans="3:3" ht="15.75" customHeight="1" x14ac:dyDescent="0.15">
      <c r="C800" s="29"/>
    </row>
    <row r="801" spans="3:3" ht="15.75" customHeight="1" x14ac:dyDescent="0.15">
      <c r="C801" s="29"/>
    </row>
    <row r="802" spans="3:3" ht="15.75" customHeight="1" x14ac:dyDescent="0.15">
      <c r="C802" s="29"/>
    </row>
    <row r="803" spans="3:3" ht="15.75" customHeight="1" x14ac:dyDescent="0.15">
      <c r="C803" s="29"/>
    </row>
    <row r="804" spans="3:3" ht="15.75" customHeight="1" x14ac:dyDescent="0.15">
      <c r="C804" s="29"/>
    </row>
    <row r="805" spans="3:3" ht="15.75" customHeight="1" x14ac:dyDescent="0.15">
      <c r="C805" s="29"/>
    </row>
    <row r="806" spans="3:3" ht="15.75" customHeight="1" x14ac:dyDescent="0.15">
      <c r="C806" s="29"/>
    </row>
    <row r="807" spans="3:3" ht="15.75" customHeight="1" x14ac:dyDescent="0.15">
      <c r="C807" s="29"/>
    </row>
    <row r="808" spans="3:3" ht="15.75" customHeight="1" x14ac:dyDescent="0.15">
      <c r="C808" s="29"/>
    </row>
    <row r="809" spans="3:3" ht="15.75" customHeight="1" x14ac:dyDescent="0.15">
      <c r="C809" s="29"/>
    </row>
    <row r="810" spans="3:3" ht="15.75" customHeight="1" x14ac:dyDescent="0.15">
      <c r="C810" s="29"/>
    </row>
    <row r="811" spans="3:3" ht="15.75" customHeight="1" x14ac:dyDescent="0.15">
      <c r="C811" s="29"/>
    </row>
    <row r="812" spans="3:3" ht="15.75" customHeight="1" x14ac:dyDescent="0.15">
      <c r="C812" s="29"/>
    </row>
    <row r="813" spans="3:3" ht="15.75" customHeight="1" x14ac:dyDescent="0.15">
      <c r="C813" s="29"/>
    </row>
    <row r="814" spans="3:3" ht="15.75" customHeight="1" x14ac:dyDescent="0.15">
      <c r="C814" s="29"/>
    </row>
    <row r="815" spans="3:3" ht="15.75" customHeight="1" x14ac:dyDescent="0.15">
      <c r="C815" s="29"/>
    </row>
    <row r="816" spans="3:3" ht="15.75" customHeight="1" x14ac:dyDescent="0.15">
      <c r="C816" s="29"/>
    </row>
    <row r="817" spans="3:3" ht="15.75" customHeight="1" x14ac:dyDescent="0.15">
      <c r="C817" s="29"/>
    </row>
    <row r="818" spans="3:3" ht="15.75" customHeight="1" x14ac:dyDescent="0.15">
      <c r="C818" s="29"/>
    </row>
    <row r="819" spans="3:3" ht="15.75" customHeight="1" x14ac:dyDescent="0.15">
      <c r="C819" s="29"/>
    </row>
    <row r="820" spans="3:3" ht="15.75" customHeight="1" x14ac:dyDescent="0.15">
      <c r="C820" s="29"/>
    </row>
    <row r="821" spans="3:3" ht="15.75" customHeight="1" x14ac:dyDescent="0.15">
      <c r="C821" s="29"/>
    </row>
    <row r="822" spans="3:3" ht="15.75" customHeight="1" x14ac:dyDescent="0.15">
      <c r="C822" s="29"/>
    </row>
    <row r="823" spans="3:3" ht="15.75" customHeight="1" x14ac:dyDescent="0.15">
      <c r="C823" s="29"/>
    </row>
    <row r="824" spans="3:3" ht="15.75" customHeight="1" x14ac:dyDescent="0.15">
      <c r="C824" s="29"/>
    </row>
    <row r="825" spans="3:3" ht="15.75" customHeight="1" x14ac:dyDescent="0.15">
      <c r="C825" s="29"/>
    </row>
    <row r="826" spans="3:3" ht="15.75" customHeight="1" x14ac:dyDescent="0.15">
      <c r="C826" s="29"/>
    </row>
    <row r="827" spans="3:3" ht="15.75" customHeight="1" x14ac:dyDescent="0.15">
      <c r="C827" s="29"/>
    </row>
    <row r="828" spans="3:3" ht="15.75" customHeight="1" x14ac:dyDescent="0.15">
      <c r="C828" s="29"/>
    </row>
    <row r="829" spans="3:3" ht="15.75" customHeight="1" x14ac:dyDescent="0.15">
      <c r="C829" s="29"/>
    </row>
    <row r="830" spans="3:3" ht="15.75" customHeight="1" x14ac:dyDescent="0.15">
      <c r="C830" s="29"/>
    </row>
    <row r="831" spans="3:3" ht="15.75" customHeight="1" x14ac:dyDescent="0.15">
      <c r="C831" s="29"/>
    </row>
    <row r="832" spans="3:3" ht="15.75" customHeight="1" x14ac:dyDescent="0.15">
      <c r="C832" s="29"/>
    </row>
    <row r="833" spans="3:3" ht="15.75" customHeight="1" x14ac:dyDescent="0.15">
      <c r="C833" s="29"/>
    </row>
    <row r="834" spans="3:3" ht="15.75" customHeight="1" x14ac:dyDescent="0.15">
      <c r="C834" s="29"/>
    </row>
    <row r="835" spans="3:3" ht="15.75" customHeight="1" x14ac:dyDescent="0.15">
      <c r="C835" s="29"/>
    </row>
    <row r="836" spans="3:3" ht="15.75" customHeight="1" x14ac:dyDescent="0.15">
      <c r="C836" s="29"/>
    </row>
    <row r="837" spans="3:3" ht="15.75" customHeight="1" x14ac:dyDescent="0.15">
      <c r="C837" s="29"/>
    </row>
    <row r="838" spans="3:3" ht="15.75" customHeight="1" x14ac:dyDescent="0.15">
      <c r="C838" s="29"/>
    </row>
    <row r="839" spans="3:3" ht="15.75" customHeight="1" x14ac:dyDescent="0.15">
      <c r="C839" s="29"/>
    </row>
    <row r="840" spans="3:3" ht="15.75" customHeight="1" x14ac:dyDescent="0.15">
      <c r="C840" s="29"/>
    </row>
    <row r="841" spans="3:3" ht="15.75" customHeight="1" x14ac:dyDescent="0.15">
      <c r="C841" s="29"/>
    </row>
    <row r="842" spans="3:3" ht="15.75" customHeight="1" x14ac:dyDescent="0.15">
      <c r="C842" s="29"/>
    </row>
    <row r="843" spans="3:3" ht="15.75" customHeight="1" x14ac:dyDescent="0.15">
      <c r="C843" s="29"/>
    </row>
    <row r="844" spans="3:3" ht="15.75" customHeight="1" x14ac:dyDescent="0.15">
      <c r="C844" s="29"/>
    </row>
    <row r="845" spans="3:3" ht="15.75" customHeight="1" x14ac:dyDescent="0.15">
      <c r="C845" s="29"/>
    </row>
    <row r="846" spans="3:3" ht="15.75" customHeight="1" x14ac:dyDescent="0.15">
      <c r="C846" s="29"/>
    </row>
    <row r="847" spans="3:3" ht="15.75" customHeight="1" x14ac:dyDescent="0.15">
      <c r="C847" s="29"/>
    </row>
    <row r="848" spans="3:3" ht="15.75" customHeight="1" x14ac:dyDescent="0.15">
      <c r="C848" s="29"/>
    </row>
    <row r="849" spans="3:3" ht="15.75" customHeight="1" x14ac:dyDescent="0.15">
      <c r="C849" s="29"/>
    </row>
    <row r="850" spans="3:3" ht="15.75" customHeight="1" x14ac:dyDescent="0.15">
      <c r="C850" s="29"/>
    </row>
    <row r="851" spans="3:3" ht="15.75" customHeight="1" x14ac:dyDescent="0.15">
      <c r="C851" s="29"/>
    </row>
    <row r="852" spans="3:3" ht="15.75" customHeight="1" x14ac:dyDescent="0.15">
      <c r="C852" s="29"/>
    </row>
    <row r="853" spans="3:3" ht="15.75" customHeight="1" x14ac:dyDescent="0.15">
      <c r="C853" s="29"/>
    </row>
    <row r="854" spans="3:3" ht="15.75" customHeight="1" x14ac:dyDescent="0.15">
      <c r="C854" s="29"/>
    </row>
    <row r="855" spans="3:3" ht="15.75" customHeight="1" x14ac:dyDescent="0.15">
      <c r="C855" s="29"/>
    </row>
    <row r="856" spans="3:3" ht="15.75" customHeight="1" x14ac:dyDescent="0.15">
      <c r="C856" s="29"/>
    </row>
    <row r="857" spans="3:3" ht="15.75" customHeight="1" x14ac:dyDescent="0.15">
      <c r="C857" s="29"/>
    </row>
    <row r="858" spans="3:3" ht="15.75" customHeight="1" x14ac:dyDescent="0.15">
      <c r="C858" s="29"/>
    </row>
    <row r="859" spans="3:3" ht="15.75" customHeight="1" x14ac:dyDescent="0.15">
      <c r="C859" s="29"/>
    </row>
    <row r="860" spans="3:3" ht="15.75" customHeight="1" x14ac:dyDescent="0.15">
      <c r="C860" s="29"/>
    </row>
    <row r="861" spans="3:3" ht="15.75" customHeight="1" x14ac:dyDescent="0.15">
      <c r="C861" s="29"/>
    </row>
    <row r="862" spans="3:3" ht="15.75" customHeight="1" x14ac:dyDescent="0.15">
      <c r="C862" s="29"/>
    </row>
    <row r="863" spans="3:3" ht="15.75" customHeight="1" x14ac:dyDescent="0.15">
      <c r="C863" s="29"/>
    </row>
    <row r="864" spans="3:3" ht="15.75" customHeight="1" x14ac:dyDescent="0.15">
      <c r="C864" s="29"/>
    </row>
    <row r="865" spans="3:3" ht="15.75" customHeight="1" x14ac:dyDescent="0.15">
      <c r="C865" s="29"/>
    </row>
    <row r="866" spans="3:3" ht="15.75" customHeight="1" x14ac:dyDescent="0.15">
      <c r="C866" s="29"/>
    </row>
    <row r="867" spans="3:3" ht="15.75" customHeight="1" x14ac:dyDescent="0.15">
      <c r="C867" s="29"/>
    </row>
    <row r="868" spans="3:3" ht="15.75" customHeight="1" x14ac:dyDescent="0.15">
      <c r="C868" s="29"/>
    </row>
    <row r="869" spans="3:3" ht="15.75" customHeight="1" x14ac:dyDescent="0.15">
      <c r="C869" s="29"/>
    </row>
    <row r="870" spans="3:3" ht="15.75" customHeight="1" x14ac:dyDescent="0.15">
      <c r="C870" s="29"/>
    </row>
    <row r="871" spans="3:3" ht="15.75" customHeight="1" x14ac:dyDescent="0.15">
      <c r="C871" s="29"/>
    </row>
    <row r="872" spans="3:3" ht="15.75" customHeight="1" x14ac:dyDescent="0.15">
      <c r="C872" s="29"/>
    </row>
    <row r="873" spans="3:3" ht="15.75" customHeight="1" x14ac:dyDescent="0.15">
      <c r="C873" s="29"/>
    </row>
    <row r="874" spans="3:3" ht="15.75" customHeight="1" x14ac:dyDescent="0.15">
      <c r="C874" s="29"/>
    </row>
    <row r="875" spans="3:3" ht="15.75" customHeight="1" x14ac:dyDescent="0.15">
      <c r="C875" s="29"/>
    </row>
    <row r="876" spans="3:3" ht="15.75" customHeight="1" x14ac:dyDescent="0.15">
      <c r="C876" s="29"/>
    </row>
    <row r="877" spans="3:3" ht="15.75" customHeight="1" x14ac:dyDescent="0.15">
      <c r="C877" s="29"/>
    </row>
    <row r="878" spans="3:3" ht="15.75" customHeight="1" x14ac:dyDescent="0.15">
      <c r="C878" s="29"/>
    </row>
    <row r="879" spans="3:3" ht="15.75" customHeight="1" x14ac:dyDescent="0.15">
      <c r="C879" s="29"/>
    </row>
    <row r="880" spans="3:3" ht="15.75" customHeight="1" x14ac:dyDescent="0.15">
      <c r="C880" s="29"/>
    </row>
    <row r="881" spans="3:3" ht="15.75" customHeight="1" x14ac:dyDescent="0.15">
      <c r="C881" s="29"/>
    </row>
    <row r="882" spans="3:3" ht="15.75" customHeight="1" x14ac:dyDescent="0.15">
      <c r="C882" s="29"/>
    </row>
    <row r="883" spans="3:3" ht="15.75" customHeight="1" x14ac:dyDescent="0.15">
      <c r="C883" s="29"/>
    </row>
    <row r="884" spans="3:3" ht="15.75" customHeight="1" x14ac:dyDescent="0.15">
      <c r="C884" s="29"/>
    </row>
    <row r="885" spans="3:3" ht="15.75" customHeight="1" x14ac:dyDescent="0.15">
      <c r="C885" s="29"/>
    </row>
    <row r="886" spans="3:3" ht="15.75" customHeight="1" x14ac:dyDescent="0.15">
      <c r="C886" s="29"/>
    </row>
    <row r="887" spans="3:3" ht="15.75" customHeight="1" x14ac:dyDescent="0.15">
      <c r="C887" s="29"/>
    </row>
    <row r="888" spans="3:3" ht="15.75" customHeight="1" x14ac:dyDescent="0.15">
      <c r="C888" s="29"/>
    </row>
    <row r="889" spans="3:3" ht="15.75" customHeight="1" x14ac:dyDescent="0.15">
      <c r="C889" s="29"/>
    </row>
    <row r="890" spans="3:3" ht="15.75" customHeight="1" x14ac:dyDescent="0.15">
      <c r="C890" s="29"/>
    </row>
    <row r="891" spans="3:3" ht="15.75" customHeight="1" x14ac:dyDescent="0.15">
      <c r="C891" s="29"/>
    </row>
    <row r="892" spans="3:3" ht="15.75" customHeight="1" x14ac:dyDescent="0.15">
      <c r="C892" s="29"/>
    </row>
    <row r="893" spans="3:3" ht="15.75" customHeight="1" x14ac:dyDescent="0.15">
      <c r="C893" s="29"/>
    </row>
    <row r="894" spans="3:3" ht="15.75" customHeight="1" x14ac:dyDescent="0.15">
      <c r="C894" s="29"/>
    </row>
    <row r="895" spans="3:3" ht="15.75" customHeight="1" x14ac:dyDescent="0.15">
      <c r="C895" s="29"/>
    </row>
    <row r="896" spans="3:3" ht="15.75" customHeight="1" x14ac:dyDescent="0.15">
      <c r="C896" s="29"/>
    </row>
    <row r="897" spans="3:3" ht="15.75" customHeight="1" x14ac:dyDescent="0.15">
      <c r="C897" s="29"/>
    </row>
    <row r="898" spans="3:3" ht="15.75" customHeight="1" x14ac:dyDescent="0.15">
      <c r="C898" s="29"/>
    </row>
    <row r="899" spans="3:3" ht="15.75" customHeight="1" x14ac:dyDescent="0.15">
      <c r="C899" s="29"/>
    </row>
    <row r="900" spans="3:3" ht="15.75" customHeight="1" x14ac:dyDescent="0.15">
      <c r="C900" s="29"/>
    </row>
    <row r="901" spans="3:3" ht="15.75" customHeight="1" x14ac:dyDescent="0.15">
      <c r="C901" s="29"/>
    </row>
    <row r="902" spans="3:3" ht="15.75" customHeight="1" x14ac:dyDescent="0.15">
      <c r="C902" s="29"/>
    </row>
    <row r="903" spans="3:3" ht="15.75" customHeight="1" x14ac:dyDescent="0.15">
      <c r="C903" s="29"/>
    </row>
    <row r="904" spans="3:3" ht="15.75" customHeight="1" x14ac:dyDescent="0.15">
      <c r="C904" s="29"/>
    </row>
    <row r="905" spans="3:3" ht="15.75" customHeight="1" x14ac:dyDescent="0.15">
      <c r="C905" s="29"/>
    </row>
    <row r="906" spans="3:3" ht="15.75" customHeight="1" x14ac:dyDescent="0.15">
      <c r="C906" s="29"/>
    </row>
    <row r="907" spans="3:3" ht="15.75" customHeight="1" x14ac:dyDescent="0.15">
      <c r="C907" s="29"/>
    </row>
    <row r="908" spans="3:3" ht="15.75" customHeight="1" x14ac:dyDescent="0.15">
      <c r="C908" s="29"/>
    </row>
    <row r="909" spans="3:3" ht="15.75" customHeight="1" x14ac:dyDescent="0.15">
      <c r="C909" s="29"/>
    </row>
    <row r="910" spans="3:3" ht="15.75" customHeight="1" x14ac:dyDescent="0.15">
      <c r="C910" s="29"/>
    </row>
    <row r="911" spans="3:3" ht="15.75" customHeight="1" x14ac:dyDescent="0.15">
      <c r="C911" s="29"/>
    </row>
    <row r="912" spans="3:3" ht="15.75" customHeight="1" x14ac:dyDescent="0.15">
      <c r="C912" s="29"/>
    </row>
    <row r="913" spans="3:3" ht="15.75" customHeight="1" x14ac:dyDescent="0.15">
      <c r="C913" s="29"/>
    </row>
    <row r="914" spans="3:3" ht="15.75" customHeight="1" x14ac:dyDescent="0.15">
      <c r="C914" s="29"/>
    </row>
    <row r="915" spans="3:3" ht="15.75" customHeight="1" x14ac:dyDescent="0.15">
      <c r="C915" s="29"/>
    </row>
    <row r="916" spans="3:3" ht="15.75" customHeight="1" x14ac:dyDescent="0.15">
      <c r="C916" s="29"/>
    </row>
    <row r="917" spans="3:3" ht="15.75" customHeight="1" x14ac:dyDescent="0.15">
      <c r="C917" s="29"/>
    </row>
    <row r="918" spans="3:3" ht="15.75" customHeight="1" x14ac:dyDescent="0.15">
      <c r="C918" s="29"/>
    </row>
    <row r="919" spans="3:3" ht="15.75" customHeight="1" x14ac:dyDescent="0.15">
      <c r="C919" s="29"/>
    </row>
    <row r="920" spans="3:3" ht="15.75" customHeight="1" x14ac:dyDescent="0.15">
      <c r="C920" s="29"/>
    </row>
    <row r="921" spans="3:3" ht="15.75" customHeight="1" x14ac:dyDescent="0.15">
      <c r="C921" s="29"/>
    </row>
    <row r="922" spans="3:3" ht="15.75" customHeight="1" x14ac:dyDescent="0.15">
      <c r="C922" s="29"/>
    </row>
    <row r="923" spans="3:3" ht="15.75" customHeight="1" x14ac:dyDescent="0.15">
      <c r="C923" s="29"/>
    </row>
    <row r="924" spans="3:3" ht="15.75" customHeight="1" x14ac:dyDescent="0.15">
      <c r="C924" s="29"/>
    </row>
    <row r="925" spans="3:3" ht="15.75" customHeight="1" x14ac:dyDescent="0.15">
      <c r="C925" s="29"/>
    </row>
    <row r="926" spans="3:3" ht="15.75" customHeight="1" x14ac:dyDescent="0.15">
      <c r="C926" s="29"/>
    </row>
    <row r="927" spans="3:3" ht="15.75" customHeight="1" x14ac:dyDescent="0.15">
      <c r="C927" s="29"/>
    </row>
    <row r="928" spans="3:3" ht="15.75" customHeight="1" x14ac:dyDescent="0.15">
      <c r="C928" s="29"/>
    </row>
    <row r="929" spans="3:3" ht="15.75" customHeight="1" x14ac:dyDescent="0.15">
      <c r="C929" s="29"/>
    </row>
    <row r="930" spans="3:3" ht="15.75" customHeight="1" x14ac:dyDescent="0.15">
      <c r="C930" s="29"/>
    </row>
    <row r="931" spans="3:3" ht="15.75" customHeight="1" x14ac:dyDescent="0.15">
      <c r="C931" s="29"/>
    </row>
    <row r="932" spans="3:3" ht="15.75" customHeight="1" x14ac:dyDescent="0.15">
      <c r="C932" s="29"/>
    </row>
    <row r="933" spans="3:3" ht="15.75" customHeight="1" x14ac:dyDescent="0.15">
      <c r="C933" s="29"/>
    </row>
    <row r="934" spans="3:3" ht="15.75" customHeight="1" x14ac:dyDescent="0.15">
      <c r="C934" s="29"/>
    </row>
    <row r="935" spans="3:3" ht="15.75" customHeight="1" x14ac:dyDescent="0.15">
      <c r="C935" s="29"/>
    </row>
    <row r="936" spans="3:3" ht="15.75" customHeight="1" x14ac:dyDescent="0.15">
      <c r="C936" s="29"/>
    </row>
    <row r="937" spans="3:3" ht="15.75" customHeight="1" x14ac:dyDescent="0.15">
      <c r="C937" s="29"/>
    </row>
    <row r="938" spans="3:3" ht="15.75" customHeight="1" x14ac:dyDescent="0.15">
      <c r="C938" s="29"/>
    </row>
    <row r="939" spans="3:3" ht="15.75" customHeight="1" x14ac:dyDescent="0.15">
      <c r="C939" s="29"/>
    </row>
    <row r="940" spans="3:3" ht="15.75" customHeight="1" x14ac:dyDescent="0.15">
      <c r="C940" s="29"/>
    </row>
    <row r="941" spans="3:3" ht="15.75" customHeight="1" x14ac:dyDescent="0.15">
      <c r="C941" s="29"/>
    </row>
    <row r="942" spans="3:3" ht="15.75" customHeight="1" x14ac:dyDescent="0.15">
      <c r="C942" s="29"/>
    </row>
    <row r="943" spans="3:3" ht="15.75" customHeight="1" x14ac:dyDescent="0.15">
      <c r="C943" s="29"/>
    </row>
    <row r="944" spans="3:3" ht="15.75" customHeight="1" x14ac:dyDescent="0.15">
      <c r="C944" s="29"/>
    </row>
    <row r="945" spans="3:3" ht="15.75" customHeight="1" x14ac:dyDescent="0.15">
      <c r="C945" s="29"/>
    </row>
    <row r="946" spans="3:3" ht="15.75" customHeight="1" x14ac:dyDescent="0.15">
      <c r="C946" s="29"/>
    </row>
    <row r="947" spans="3:3" ht="15.75" customHeight="1" x14ac:dyDescent="0.15">
      <c r="C947" s="29"/>
    </row>
    <row r="948" spans="3:3" ht="15.75" customHeight="1" x14ac:dyDescent="0.15">
      <c r="C948" s="29"/>
    </row>
    <row r="949" spans="3:3" ht="15.75" customHeight="1" x14ac:dyDescent="0.15">
      <c r="C949" s="29"/>
    </row>
    <row r="950" spans="3:3" ht="15.75" customHeight="1" x14ac:dyDescent="0.15">
      <c r="C950" s="29"/>
    </row>
    <row r="951" spans="3:3" ht="15.75" customHeight="1" x14ac:dyDescent="0.15">
      <c r="C951" s="29"/>
    </row>
    <row r="952" spans="3:3" ht="15.75" customHeight="1" x14ac:dyDescent="0.15">
      <c r="C952" s="29"/>
    </row>
    <row r="953" spans="3:3" ht="15.75" customHeight="1" x14ac:dyDescent="0.15">
      <c r="C953" s="29"/>
    </row>
    <row r="954" spans="3:3" ht="15.75" customHeight="1" x14ac:dyDescent="0.15">
      <c r="C954" s="29"/>
    </row>
    <row r="955" spans="3:3" ht="15.75" customHeight="1" x14ac:dyDescent="0.15">
      <c r="C955" s="29"/>
    </row>
    <row r="956" spans="3:3" ht="15.75" customHeight="1" x14ac:dyDescent="0.15">
      <c r="C956" s="29"/>
    </row>
    <row r="957" spans="3:3" ht="15.75" customHeight="1" x14ac:dyDescent="0.15">
      <c r="C957" s="29"/>
    </row>
    <row r="958" spans="3:3" ht="15.75" customHeight="1" x14ac:dyDescent="0.15">
      <c r="C958" s="29"/>
    </row>
    <row r="959" spans="3:3" ht="15.75" customHeight="1" x14ac:dyDescent="0.15">
      <c r="C959" s="29"/>
    </row>
    <row r="960" spans="3:3" ht="15.75" customHeight="1" x14ac:dyDescent="0.15">
      <c r="C960" s="29"/>
    </row>
    <row r="961" spans="3:3" ht="15.75" customHeight="1" x14ac:dyDescent="0.15">
      <c r="C961" s="29"/>
    </row>
    <row r="962" spans="3:3" ht="15.75" customHeight="1" x14ac:dyDescent="0.15">
      <c r="C962" s="29"/>
    </row>
    <row r="963" spans="3:3" ht="15.75" customHeight="1" x14ac:dyDescent="0.15">
      <c r="C963" s="29"/>
    </row>
    <row r="964" spans="3:3" ht="15.75" customHeight="1" x14ac:dyDescent="0.15">
      <c r="C964" s="29"/>
    </row>
    <row r="965" spans="3:3" ht="15.75" customHeight="1" x14ac:dyDescent="0.15">
      <c r="C965" s="29"/>
    </row>
    <row r="966" spans="3:3" ht="15.75" customHeight="1" x14ac:dyDescent="0.15">
      <c r="C966" s="29"/>
    </row>
    <row r="967" spans="3:3" ht="15.75" customHeight="1" x14ac:dyDescent="0.15">
      <c r="C967" s="29"/>
    </row>
    <row r="968" spans="3:3" ht="15.75" customHeight="1" x14ac:dyDescent="0.15">
      <c r="C968" s="29"/>
    </row>
    <row r="969" spans="3:3" ht="15.75" customHeight="1" x14ac:dyDescent="0.15">
      <c r="C969" s="29"/>
    </row>
    <row r="970" spans="3:3" ht="15.75" customHeight="1" x14ac:dyDescent="0.15">
      <c r="C970" s="29"/>
    </row>
    <row r="971" spans="3:3" ht="15.75" customHeight="1" x14ac:dyDescent="0.15">
      <c r="C971" s="29"/>
    </row>
    <row r="972" spans="3:3" ht="15.75" customHeight="1" x14ac:dyDescent="0.15">
      <c r="C972" s="29"/>
    </row>
    <row r="973" spans="3:3" ht="15.75" customHeight="1" x14ac:dyDescent="0.15">
      <c r="C973" s="29"/>
    </row>
    <row r="974" spans="3:3" ht="15.75" customHeight="1" x14ac:dyDescent="0.15">
      <c r="C974" s="29"/>
    </row>
    <row r="975" spans="3:3" ht="15.75" customHeight="1" x14ac:dyDescent="0.15">
      <c r="C975" s="29"/>
    </row>
    <row r="976" spans="3:3" ht="15.75" customHeight="1" x14ac:dyDescent="0.15">
      <c r="C976" s="29"/>
    </row>
    <row r="977" spans="3:3" ht="15.75" customHeight="1" x14ac:dyDescent="0.15">
      <c r="C977" s="29"/>
    </row>
    <row r="978" spans="3:3" ht="15.75" customHeight="1" x14ac:dyDescent="0.15">
      <c r="C978" s="29"/>
    </row>
    <row r="979" spans="3:3" ht="15.75" customHeight="1" x14ac:dyDescent="0.15">
      <c r="C979" s="29"/>
    </row>
    <row r="980" spans="3:3" ht="15.75" customHeight="1" x14ac:dyDescent="0.15">
      <c r="C980" s="29"/>
    </row>
    <row r="981" spans="3:3" ht="15.75" customHeight="1" x14ac:dyDescent="0.15">
      <c r="C981" s="29"/>
    </row>
    <row r="982" spans="3:3" ht="15.75" customHeight="1" x14ac:dyDescent="0.15">
      <c r="C982" s="29"/>
    </row>
    <row r="983" spans="3:3" ht="15.75" customHeight="1" x14ac:dyDescent="0.15">
      <c r="C983" s="29"/>
    </row>
    <row r="984" spans="3:3" ht="15.75" customHeight="1" x14ac:dyDescent="0.15">
      <c r="C984" s="29"/>
    </row>
    <row r="985" spans="3:3" ht="15.75" customHeight="1" x14ac:dyDescent="0.15">
      <c r="C985" s="29"/>
    </row>
    <row r="986" spans="3:3" ht="15.75" customHeight="1" x14ac:dyDescent="0.15">
      <c r="C986" s="29"/>
    </row>
    <row r="987" spans="3:3" ht="15.75" customHeight="1" x14ac:dyDescent="0.15">
      <c r="C987" s="29"/>
    </row>
    <row r="988" spans="3:3" ht="15.75" customHeight="1" x14ac:dyDescent="0.15">
      <c r="C988" s="29"/>
    </row>
    <row r="989" spans="3:3" ht="15.75" customHeight="1" x14ac:dyDescent="0.15">
      <c r="C989" s="29"/>
    </row>
    <row r="990" spans="3:3" ht="15.75" customHeight="1" x14ac:dyDescent="0.15">
      <c r="C990" s="29"/>
    </row>
    <row r="991" spans="3:3" ht="15.75" customHeight="1" x14ac:dyDescent="0.15">
      <c r="C991" s="29"/>
    </row>
    <row r="992" spans="3:3" ht="15.75" customHeight="1" x14ac:dyDescent="0.15">
      <c r="C992" s="29"/>
    </row>
    <row r="993" spans="3:3" ht="15.75" customHeight="1" x14ac:dyDescent="0.15">
      <c r="C993" s="29"/>
    </row>
    <row r="994" spans="3:3" ht="15.75" customHeight="1" x14ac:dyDescent="0.15">
      <c r="C994" s="29"/>
    </row>
    <row r="995" spans="3:3" ht="15.75" customHeight="1" x14ac:dyDescent="0.15">
      <c r="C995" s="29"/>
    </row>
    <row r="996" spans="3:3" ht="15.75" customHeight="1" x14ac:dyDescent="0.15">
      <c r="C996" s="29"/>
    </row>
    <row r="997" spans="3:3" ht="15.75" customHeight="1" x14ac:dyDescent="0.15">
      <c r="C997" s="29"/>
    </row>
    <row r="998" spans="3:3" ht="15.75" customHeight="1" x14ac:dyDescent="0.15">
      <c r="C998" s="29"/>
    </row>
    <row r="999" spans="3:3" ht="15.75" customHeight="1" x14ac:dyDescent="0.15">
      <c r="C999" s="29"/>
    </row>
    <row r="1000" spans="3:3" ht="15.75" customHeight="1" x14ac:dyDescent="0.15">
      <c r="C1000" s="29"/>
    </row>
  </sheetData>
  <mergeCells count="12">
    <mergeCell ref="A21:A25"/>
    <mergeCell ref="B27:B28"/>
    <mergeCell ref="A2:A7"/>
    <mergeCell ref="B5:B6"/>
    <mergeCell ref="A8:A13"/>
    <mergeCell ref="A14:A20"/>
    <mergeCell ref="B16:B19"/>
    <mergeCell ref="A26:A29"/>
    <mergeCell ref="A30:A32"/>
    <mergeCell ref="A33:A35"/>
    <mergeCell ref="B34:B35"/>
    <mergeCell ref="A36:A37"/>
  </mergeCells>
  <pageMargins left="0.7" right="0.7" top="0.75" bottom="0.75" header="0" footer="0"/>
  <pageSetup scale="60" orientation="landscape"/>
  <headerFooter>
    <oddFooter>&amp;C_x000D_#000000 Confidential - Not for Public Consumption or Distribution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04"/>
  <sheetViews>
    <sheetView topLeftCell="B1" workbookViewId="0"/>
  </sheetViews>
  <sheetFormatPr baseColWidth="10" defaultColWidth="12.6640625" defaultRowHeight="15" customHeight="1" x14ac:dyDescent="0.15"/>
  <cols>
    <col min="1" max="1" width="24.33203125" bestFit="1" customWidth="1"/>
    <col min="2" max="2" width="236.6640625" bestFit="1" customWidth="1"/>
    <col min="3" max="3" width="10.1640625" bestFit="1" customWidth="1"/>
    <col min="4" max="4" width="9.5" bestFit="1" customWidth="1"/>
    <col min="5" max="5" width="8.1640625" bestFit="1" customWidth="1"/>
    <col min="6" max="6" width="22.33203125" bestFit="1" customWidth="1"/>
    <col min="7" max="22" width="8.6640625" customWidth="1"/>
  </cols>
  <sheetData>
    <row r="1" spans="1:6" ht="12.75" customHeight="1" x14ac:dyDescent="0.15">
      <c r="A1" s="63" t="s">
        <v>1</v>
      </c>
      <c r="B1" s="63" t="s">
        <v>81</v>
      </c>
      <c r="C1" s="63" t="s">
        <v>82</v>
      </c>
      <c r="D1" s="63" t="s">
        <v>83</v>
      </c>
      <c r="E1" s="63" t="s">
        <v>171</v>
      </c>
      <c r="F1" s="63" t="s">
        <v>172</v>
      </c>
    </row>
    <row r="2" spans="1:6" ht="12.75" customHeight="1" x14ac:dyDescent="0.15">
      <c r="A2" t="s">
        <v>84</v>
      </c>
      <c r="B2" t="s">
        <v>85</v>
      </c>
    </row>
    <row r="3" spans="1:6" ht="12.75" customHeight="1" x14ac:dyDescent="0.15">
      <c r="A3" t="s">
        <v>84</v>
      </c>
      <c r="B3" t="s">
        <v>86</v>
      </c>
      <c r="C3" t="s">
        <v>5</v>
      </c>
      <c r="D3" t="s">
        <v>8</v>
      </c>
      <c r="E3" s="64">
        <v>45954</v>
      </c>
      <c r="F3" t="s">
        <v>173</v>
      </c>
    </row>
    <row r="4" spans="1:6" ht="12.75" customHeight="1" x14ac:dyDescent="0.15">
      <c r="A4" t="s">
        <v>84</v>
      </c>
      <c r="B4" t="s">
        <v>86</v>
      </c>
      <c r="C4" t="s">
        <v>6</v>
      </c>
      <c r="D4" t="s">
        <v>87</v>
      </c>
      <c r="E4" s="64">
        <v>45957</v>
      </c>
      <c r="F4" t="s">
        <v>173</v>
      </c>
    </row>
    <row r="5" spans="1:6" ht="12.75" customHeight="1" x14ac:dyDescent="0.15">
      <c r="A5" t="s">
        <v>84</v>
      </c>
      <c r="B5" t="s">
        <v>86</v>
      </c>
      <c r="C5" t="s">
        <v>7</v>
      </c>
      <c r="D5" t="s">
        <v>88</v>
      </c>
      <c r="E5" s="64">
        <v>45957</v>
      </c>
      <c r="F5" t="s">
        <v>174</v>
      </c>
    </row>
    <row r="6" spans="1:6" ht="12.75" customHeight="1" x14ac:dyDescent="0.15">
      <c r="A6" t="s">
        <v>84</v>
      </c>
      <c r="B6" t="s">
        <v>89</v>
      </c>
      <c r="C6" t="s">
        <v>5</v>
      </c>
      <c r="D6" t="s">
        <v>8</v>
      </c>
      <c r="E6" s="64">
        <v>45957</v>
      </c>
      <c r="F6" t="s">
        <v>173</v>
      </c>
    </row>
    <row r="7" spans="1:6" ht="12.75" customHeight="1" x14ac:dyDescent="0.15">
      <c r="A7" t="s">
        <v>84</v>
      </c>
      <c r="B7" t="s">
        <v>89</v>
      </c>
      <c r="C7" t="s">
        <v>6</v>
      </c>
      <c r="D7" t="s">
        <v>87</v>
      </c>
      <c r="E7" s="64">
        <v>45958</v>
      </c>
      <c r="F7" t="s">
        <v>173</v>
      </c>
    </row>
    <row r="8" spans="1:6" ht="12.75" customHeight="1" x14ac:dyDescent="0.15">
      <c r="A8" t="s">
        <v>84</v>
      </c>
      <c r="B8" t="s">
        <v>89</v>
      </c>
      <c r="C8" t="s">
        <v>7</v>
      </c>
      <c r="D8" t="s">
        <v>88</v>
      </c>
      <c r="E8" s="64">
        <v>45958</v>
      </c>
      <c r="F8" t="s">
        <v>174</v>
      </c>
    </row>
    <row r="9" spans="1:6" ht="12.75" customHeight="1" x14ac:dyDescent="0.15">
      <c r="A9" t="s">
        <v>84</v>
      </c>
      <c r="B9" t="s">
        <v>90</v>
      </c>
    </row>
    <row r="10" spans="1:6" ht="12.75" customHeight="1" x14ac:dyDescent="0.15">
      <c r="A10" t="s">
        <v>84</v>
      </c>
      <c r="B10" t="s">
        <v>91</v>
      </c>
      <c r="C10" t="s">
        <v>5</v>
      </c>
      <c r="D10" t="s">
        <v>70</v>
      </c>
      <c r="E10" s="64">
        <v>45957</v>
      </c>
      <c r="F10" t="s">
        <v>175</v>
      </c>
    </row>
    <row r="11" spans="1:6" ht="12.75" customHeight="1" x14ac:dyDescent="0.15">
      <c r="A11" t="s">
        <v>84</v>
      </c>
      <c r="B11" t="s">
        <v>91</v>
      </c>
      <c r="C11" t="s">
        <v>6</v>
      </c>
      <c r="D11" t="s">
        <v>35</v>
      </c>
      <c r="E11" s="64">
        <v>45958</v>
      </c>
      <c r="F11" t="s">
        <v>176</v>
      </c>
    </row>
    <row r="12" spans="1:6" ht="12.75" customHeight="1" x14ac:dyDescent="0.15">
      <c r="A12" t="s">
        <v>84</v>
      </c>
      <c r="B12" t="s">
        <v>91</v>
      </c>
      <c r="C12" t="s">
        <v>7</v>
      </c>
      <c r="D12" t="s">
        <v>87</v>
      </c>
      <c r="E12" s="64">
        <v>45958</v>
      </c>
      <c r="F12" t="s">
        <v>173</v>
      </c>
    </row>
    <row r="13" spans="1:6" ht="12.75" customHeight="1" x14ac:dyDescent="0.15">
      <c r="A13" t="s">
        <v>84</v>
      </c>
      <c r="B13" t="s">
        <v>92</v>
      </c>
      <c r="C13" t="s">
        <v>5</v>
      </c>
      <c r="D13" t="s">
        <v>93</v>
      </c>
      <c r="E13" s="64">
        <v>45957</v>
      </c>
      <c r="F13" t="s">
        <v>177</v>
      </c>
    </row>
    <row r="14" spans="1:6" ht="12.75" customHeight="1" x14ac:dyDescent="0.15">
      <c r="A14" t="s">
        <v>84</v>
      </c>
      <c r="B14" t="s">
        <v>92</v>
      </c>
      <c r="C14" t="s">
        <v>6</v>
      </c>
      <c r="D14" t="s">
        <v>35</v>
      </c>
      <c r="E14" s="64">
        <v>45958</v>
      </c>
      <c r="F14" t="s">
        <v>176</v>
      </c>
    </row>
    <row r="15" spans="1:6" ht="12.75" customHeight="1" x14ac:dyDescent="0.15">
      <c r="A15" t="s">
        <v>84</v>
      </c>
      <c r="B15" t="s">
        <v>92</v>
      </c>
      <c r="C15" t="s">
        <v>7</v>
      </c>
      <c r="D15" t="s">
        <v>87</v>
      </c>
      <c r="E15" s="64">
        <v>45958</v>
      </c>
      <c r="F15" t="s">
        <v>173</v>
      </c>
    </row>
    <row r="16" spans="1:6" ht="12.75" customHeight="1" x14ac:dyDescent="0.15">
      <c r="A16" t="s">
        <v>84</v>
      </c>
      <c r="B16" t="s">
        <v>94</v>
      </c>
    </row>
    <row r="17" spans="1:6" ht="12.75" customHeight="1" x14ac:dyDescent="0.15">
      <c r="A17" t="s">
        <v>84</v>
      </c>
      <c r="B17" t="s">
        <v>95</v>
      </c>
      <c r="C17" t="s">
        <v>5</v>
      </c>
      <c r="D17" t="s">
        <v>46</v>
      </c>
      <c r="E17" s="64">
        <v>45957</v>
      </c>
      <c r="F17" t="s">
        <v>178</v>
      </c>
    </row>
    <row r="18" spans="1:6" ht="12.75" customHeight="1" x14ac:dyDescent="0.15">
      <c r="A18" t="s">
        <v>84</v>
      </c>
      <c r="B18" t="s">
        <v>95</v>
      </c>
      <c r="C18" t="s">
        <v>6</v>
      </c>
      <c r="D18" t="s">
        <v>87</v>
      </c>
      <c r="E18" s="64">
        <v>45959</v>
      </c>
      <c r="F18" t="s">
        <v>173</v>
      </c>
    </row>
    <row r="19" spans="1:6" ht="12.75" customHeight="1" x14ac:dyDescent="0.15">
      <c r="A19" t="s">
        <v>84</v>
      </c>
      <c r="B19" t="s">
        <v>95</v>
      </c>
      <c r="C19" t="s">
        <v>7</v>
      </c>
      <c r="D19" t="s">
        <v>88</v>
      </c>
      <c r="E19" s="64">
        <v>45959</v>
      </c>
      <c r="F19" t="s">
        <v>174</v>
      </c>
    </row>
    <row r="20" spans="1:6" ht="12.75" customHeight="1" x14ac:dyDescent="0.15">
      <c r="A20" t="s">
        <v>84</v>
      </c>
      <c r="B20" t="s">
        <v>96</v>
      </c>
      <c r="C20" t="s">
        <v>5</v>
      </c>
      <c r="D20" t="s">
        <v>65</v>
      </c>
      <c r="E20" s="64">
        <v>45957</v>
      </c>
      <c r="F20" t="s">
        <v>179</v>
      </c>
    </row>
    <row r="21" spans="1:6" ht="12.75" customHeight="1" x14ac:dyDescent="0.15">
      <c r="A21" t="s">
        <v>84</v>
      </c>
      <c r="B21" t="s">
        <v>96</v>
      </c>
      <c r="C21" t="s">
        <v>6</v>
      </c>
      <c r="D21" t="s">
        <v>87</v>
      </c>
      <c r="E21" s="64">
        <v>45959</v>
      </c>
      <c r="F21" t="s">
        <v>173</v>
      </c>
    </row>
    <row r="22" spans="1:6" ht="12.75" customHeight="1" x14ac:dyDescent="0.15">
      <c r="A22" t="s">
        <v>84</v>
      </c>
      <c r="B22" t="s">
        <v>96</v>
      </c>
      <c r="C22" t="s">
        <v>7</v>
      </c>
      <c r="D22" t="s">
        <v>88</v>
      </c>
      <c r="E22" s="64">
        <v>45959</v>
      </c>
      <c r="F22" t="s">
        <v>174</v>
      </c>
    </row>
    <row r="23" spans="1:6" ht="12.75" customHeight="1" x14ac:dyDescent="0.15">
      <c r="A23" t="s">
        <v>97</v>
      </c>
      <c r="B23" t="s">
        <v>98</v>
      </c>
    </row>
    <row r="24" spans="1:6" ht="12.75" customHeight="1" x14ac:dyDescent="0.15">
      <c r="A24" t="s">
        <v>97</v>
      </c>
      <c r="B24" t="s">
        <v>99</v>
      </c>
      <c r="C24" t="s">
        <v>5</v>
      </c>
      <c r="D24" t="s">
        <v>8</v>
      </c>
      <c r="E24" s="64">
        <v>45958</v>
      </c>
      <c r="F24" t="s">
        <v>173</v>
      </c>
    </row>
    <row r="25" spans="1:6" ht="12.75" customHeight="1" x14ac:dyDescent="0.15">
      <c r="A25" t="s">
        <v>97</v>
      </c>
      <c r="B25" t="s">
        <v>99</v>
      </c>
      <c r="C25" t="s">
        <v>6</v>
      </c>
      <c r="D25" t="s">
        <v>88</v>
      </c>
      <c r="E25" s="64">
        <v>45959</v>
      </c>
      <c r="F25" t="s">
        <v>174</v>
      </c>
    </row>
    <row r="26" spans="1:6" ht="12.75" customHeight="1" x14ac:dyDescent="0.15">
      <c r="A26" t="s">
        <v>97</v>
      </c>
      <c r="B26" t="s">
        <v>99</v>
      </c>
      <c r="C26" t="s">
        <v>7</v>
      </c>
      <c r="D26" t="s">
        <v>88</v>
      </c>
      <c r="E26" s="64">
        <v>45959</v>
      </c>
      <c r="F26" t="s">
        <v>174</v>
      </c>
    </row>
    <row r="27" spans="1:6" ht="12.75" customHeight="1" x14ac:dyDescent="0.15">
      <c r="A27" t="s">
        <v>97</v>
      </c>
      <c r="B27" t="s">
        <v>100</v>
      </c>
      <c r="C27" t="s">
        <v>5</v>
      </c>
      <c r="D27" t="s">
        <v>23</v>
      </c>
      <c r="E27" s="64">
        <v>45957</v>
      </c>
      <c r="F27" t="s">
        <v>180</v>
      </c>
    </row>
    <row r="28" spans="1:6" ht="12.75" customHeight="1" x14ac:dyDescent="0.15">
      <c r="A28" t="s">
        <v>97</v>
      </c>
      <c r="B28" t="s">
        <v>100</v>
      </c>
      <c r="C28" t="s">
        <v>6</v>
      </c>
      <c r="D28" t="s">
        <v>8</v>
      </c>
      <c r="E28" s="64">
        <v>45958</v>
      </c>
      <c r="F28" t="s">
        <v>173</v>
      </c>
    </row>
    <row r="29" spans="1:6" ht="12.75" customHeight="1" x14ac:dyDescent="0.15">
      <c r="A29" t="s">
        <v>97</v>
      </c>
      <c r="B29" t="s">
        <v>100</v>
      </c>
      <c r="C29" t="s">
        <v>7</v>
      </c>
      <c r="D29" t="s">
        <v>88</v>
      </c>
      <c r="E29" s="64">
        <v>45958</v>
      </c>
      <c r="F29" t="s">
        <v>174</v>
      </c>
    </row>
    <row r="30" spans="1:6" ht="12.75" customHeight="1" x14ac:dyDescent="0.15">
      <c r="A30" t="s">
        <v>97</v>
      </c>
      <c r="B30" t="s">
        <v>101</v>
      </c>
      <c r="C30" t="s">
        <v>5</v>
      </c>
      <c r="D30" t="s">
        <v>35</v>
      </c>
      <c r="E30" s="64">
        <v>45957</v>
      </c>
      <c r="F30" t="s">
        <v>176</v>
      </c>
    </row>
    <row r="31" spans="1:6" ht="12.75" customHeight="1" x14ac:dyDescent="0.15">
      <c r="A31" t="s">
        <v>97</v>
      </c>
      <c r="B31" t="s">
        <v>101</v>
      </c>
      <c r="C31" t="s">
        <v>6</v>
      </c>
      <c r="D31" t="s">
        <v>23</v>
      </c>
      <c r="E31" s="64">
        <v>45957</v>
      </c>
      <c r="F31" t="s">
        <v>180</v>
      </c>
    </row>
    <row r="32" spans="1:6" ht="12.75" customHeight="1" x14ac:dyDescent="0.15">
      <c r="A32" t="s">
        <v>97</v>
      </c>
      <c r="B32" t="s">
        <v>101</v>
      </c>
      <c r="C32" t="s">
        <v>7</v>
      </c>
      <c r="D32" t="s">
        <v>88</v>
      </c>
      <c r="E32" s="64">
        <v>45959</v>
      </c>
      <c r="F32" t="s">
        <v>174</v>
      </c>
    </row>
    <row r="33" spans="1:6" ht="12.75" customHeight="1" x14ac:dyDescent="0.15">
      <c r="A33" t="s">
        <v>97</v>
      </c>
      <c r="B33" t="s">
        <v>102</v>
      </c>
      <c r="C33" t="s">
        <v>5</v>
      </c>
      <c r="D33" t="s">
        <v>46</v>
      </c>
      <c r="E33" s="64">
        <v>45958</v>
      </c>
      <c r="F33" t="s">
        <v>178</v>
      </c>
    </row>
    <row r="34" spans="1:6" ht="12.75" customHeight="1" x14ac:dyDescent="0.15">
      <c r="A34" t="s">
        <v>97</v>
      </c>
      <c r="B34" t="s">
        <v>102</v>
      </c>
      <c r="C34" t="s">
        <v>6</v>
      </c>
      <c r="D34" t="s">
        <v>8</v>
      </c>
      <c r="E34" s="64">
        <v>45959</v>
      </c>
      <c r="F34" t="s">
        <v>173</v>
      </c>
    </row>
    <row r="35" spans="1:6" ht="12.75" customHeight="1" x14ac:dyDescent="0.15">
      <c r="A35" t="s">
        <v>97</v>
      </c>
      <c r="B35" t="s">
        <v>102</v>
      </c>
      <c r="C35" t="s">
        <v>7</v>
      </c>
      <c r="D35" t="s">
        <v>88</v>
      </c>
      <c r="E35" s="64">
        <v>45959</v>
      </c>
      <c r="F35" t="s">
        <v>174</v>
      </c>
    </row>
    <row r="36" spans="1:6" ht="12.75" customHeight="1" x14ac:dyDescent="0.15">
      <c r="A36" t="s">
        <v>97</v>
      </c>
      <c r="B36" t="s">
        <v>103</v>
      </c>
      <c r="C36" t="s">
        <v>5</v>
      </c>
      <c r="D36" t="s">
        <v>46</v>
      </c>
      <c r="E36" s="64">
        <v>45958</v>
      </c>
      <c r="F36" t="s">
        <v>178</v>
      </c>
    </row>
    <row r="37" spans="1:6" ht="12.75" customHeight="1" x14ac:dyDescent="0.15">
      <c r="A37" t="s">
        <v>97</v>
      </c>
      <c r="B37" t="s">
        <v>103</v>
      </c>
      <c r="C37" t="s">
        <v>6</v>
      </c>
      <c r="D37" t="s">
        <v>8</v>
      </c>
      <c r="E37" s="64">
        <v>45959</v>
      </c>
      <c r="F37" t="s">
        <v>173</v>
      </c>
    </row>
    <row r="38" spans="1:6" ht="12.75" customHeight="1" x14ac:dyDescent="0.15">
      <c r="A38" t="s">
        <v>97</v>
      </c>
      <c r="B38" t="s">
        <v>103</v>
      </c>
      <c r="C38" t="s">
        <v>7</v>
      </c>
      <c r="D38" t="s">
        <v>88</v>
      </c>
      <c r="E38" s="64">
        <v>45959</v>
      </c>
      <c r="F38" t="s">
        <v>174</v>
      </c>
    </row>
    <row r="39" spans="1:6" ht="12.75" customHeight="1" x14ac:dyDescent="0.15">
      <c r="A39" t="s">
        <v>97</v>
      </c>
      <c r="B39" t="s">
        <v>104</v>
      </c>
      <c r="C39" t="s">
        <v>5</v>
      </c>
      <c r="D39" t="s">
        <v>65</v>
      </c>
      <c r="E39" s="64">
        <v>45957</v>
      </c>
      <c r="F39" t="s">
        <v>179</v>
      </c>
    </row>
    <row r="40" spans="1:6" ht="12.75" customHeight="1" x14ac:dyDescent="0.15">
      <c r="A40" t="s">
        <v>97</v>
      </c>
      <c r="B40" t="s">
        <v>104</v>
      </c>
      <c r="C40" t="s">
        <v>6</v>
      </c>
      <c r="D40" t="s">
        <v>8</v>
      </c>
      <c r="E40" s="64">
        <v>45958</v>
      </c>
      <c r="F40" t="s">
        <v>173</v>
      </c>
    </row>
    <row r="41" spans="1:6" ht="12.75" customHeight="1" x14ac:dyDescent="0.15">
      <c r="A41" t="s">
        <v>97</v>
      </c>
      <c r="B41" t="s">
        <v>104</v>
      </c>
      <c r="C41" t="s">
        <v>7</v>
      </c>
      <c r="D41" t="s">
        <v>88</v>
      </c>
      <c r="E41" s="64">
        <v>45958</v>
      </c>
      <c r="F41" t="s">
        <v>174</v>
      </c>
    </row>
    <row r="42" spans="1:6" ht="12.75" customHeight="1" x14ac:dyDescent="0.15">
      <c r="A42" t="s">
        <v>97</v>
      </c>
      <c r="B42" t="s">
        <v>105</v>
      </c>
      <c r="C42" t="s">
        <v>5</v>
      </c>
      <c r="D42" t="s">
        <v>106</v>
      </c>
      <c r="E42" s="64">
        <v>45959</v>
      </c>
      <c r="F42" t="s">
        <v>181</v>
      </c>
    </row>
    <row r="43" spans="1:6" ht="12.75" customHeight="1" x14ac:dyDescent="0.15">
      <c r="A43" t="s">
        <v>97</v>
      </c>
      <c r="B43" t="s">
        <v>107</v>
      </c>
    </row>
    <row r="44" spans="1:6" ht="12.75" customHeight="1" x14ac:dyDescent="0.15">
      <c r="A44" t="s">
        <v>97</v>
      </c>
      <c r="B44" t="s">
        <v>108</v>
      </c>
      <c r="C44" t="s">
        <v>5</v>
      </c>
      <c r="D44" t="s">
        <v>8</v>
      </c>
      <c r="E44" s="64">
        <v>45958</v>
      </c>
      <c r="F44" t="s">
        <v>173</v>
      </c>
    </row>
    <row r="45" spans="1:6" ht="12.75" customHeight="1" x14ac:dyDescent="0.15">
      <c r="A45" t="s">
        <v>97</v>
      </c>
      <c r="B45" t="s">
        <v>108</v>
      </c>
      <c r="C45" t="s">
        <v>6</v>
      </c>
      <c r="D45" t="s">
        <v>8</v>
      </c>
      <c r="E45" s="64">
        <v>45959</v>
      </c>
      <c r="F45" t="s">
        <v>173</v>
      </c>
    </row>
    <row r="46" spans="1:6" ht="12.75" customHeight="1" x14ac:dyDescent="0.15">
      <c r="A46" t="s">
        <v>97</v>
      </c>
      <c r="B46" t="s">
        <v>108</v>
      </c>
      <c r="C46" t="s">
        <v>7</v>
      </c>
      <c r="D46" t="s">
        <v>88</v>
      </c>
      <c r="E46" s="64">
        <v>45959</v>
      </c>
      <c r="F46" t="s">
        <v>174</v>
      </c>
    </row>
    <row r="47" spans="1:6" ht="12.75" customHeight="1" x14ac:dyDescent="0.15">
      <c r="A47" t="s">
        <v>97</v>
      </c>
      <c r="B47" t="s">
        <v>109</v>
      </c>
      <c r="C47" t="s">
        <v>5</v>
      </c>
      <c r="D47" t="s">
        <v>23</v>
      </c>
      <c r="E47" s="64">
        <v>45958</v>
      </c>
      <c r="F47" t="s">
        <v>180</v>
      </c>
    </row>
    <row r="48" spans="1:6" ht="12.75" customHeight="1" x14ac:dyDescent="0.15">
      <c r="A48" t="s">
        <v>97</v>
      </c>
      <c r="B48" t="s">
        <v>109</v>
      </c>
      <c r="C48" t="s">
        <v>6</v>
      </c>
      <c r="D48" t="s">
        <v>8</v>
      </c>
      <c r="E48" s="64">
        <v>45959</v>
      </c>
      <c r="F48" t="s">
        <v>173</v>
      </c>
    </row>
    <row r="49" spans="1:6" ht="12.75" customHeight="1" x14ac:dyDescent="0.15">
      <c r="A49" t="s">
        <v>97</v>
      </c>
      <c r="B49" t="s">
        <v>109</v>
      </c>
      <c r="C49" t="s">
        <v>7</v>
      </c>
      <c r="D49" t="s">
        <v>88</v>
      </c>
      <c r="E49" s="64">
        <v>45959</v>
      </c>
      <c r="F49" t="s">
        <v>174</v>
      </c>
    </row>
    <row r="50" spans="1:6" ht="12.75" customHeight="1" x14ac:dyDescent="0.15">
      <c r="A50" t="s">
        <v>97</v>
      </c>
      <c r="B50" t="s">
        <v>110</v>
      </c>
      <c r="C50" t="s">
        <v>5</v>
      </c>
      <c r="D50" t="s">
        <v>23</v>
      </c>
      <c r="E50" s="64">
        <v>45959</v>
      </c>
      <c r="F50" t="s">
        <v>180</v>
      </c>
    </row>
    <row r="51" spans="1:6" ht="12.75" customHeight="1" x14ac:dyDescent="0.15">
      <c r="A51" t="s">
        <v>97</v>
      </c>
      <c r="B51" t="s">
        <v>110</v>
      </c>
      <c r="C51" t="s">
        <v>6</v>
      </c>
      <c r="D51" t="s">
        <v>8</v>
      </c>
      <c r="E51" s="64">
        <v>45960</v>
      </c>
      <c r="F51" t="s">
        <v>173</v>
      </c>
    </row>
    <row r="52" spans="1:6" ht="12.75" customHeight="1" x14ac:dyDescent="0.15">
      <c r="A52" t="s">
        <v>97</v>
      </c>
      <c r="B52" t="s">
        <v>110</v>
      </c>
      <c r="C52" t="s">
        <v>7</v>
      </c>
      <c r="D52" t="s">
        <v>88</v>
      </c>
      <c r="E52" s="64">
        <v>45960</v>
      </c>
      <c r="F52" t="s">
        <v>174</v>
      </c>
    </row>
    <row r="53" spans="1:6" ht="12.75" customHeight="1" x14ac:dyDescent="0.15">
      <c r="A53" t="s">
        <v>97</v>
      </c>
      <c r="B53" t="s">
        <v>111</v>
      </c>
      <c r="C53" t="s">
        <v>5</v>
      </c>
      <c r="D53" t="s">
        <v>23</v>
      </c>
      <c r="E53" s="64">
        <v>45959</v>
      </c>
      <c r="F53" t="s">
        <v>180</v>
      </c>
    </row>
    <row r="54" spans="1:6" ht="12.75" customHeight="1" x14ac:dyDescent="0.15">
      <c r="A54" t="s">
        <v>97</v>
      </c>
      <c r="B54" t="s">
        <v>111</v>
      </c>
      <c r="C54" t="s">
        <v>6</v>
      </c>
      <c r="D54" t="s">
        <v>8</v>
      </c>
      <c r="E54" s="64">
        <v>45960</v>
      </c>
      <c r="F54" t="s">
        <v>173</v>
      </c>
    </row>
    <row r="55" spans="1:6" ht="12.75" customHeight="1" x14ac:dyDescent="0.15">
      <c r="A55" t="s">
        <v>97</v>
      </c>
      <c r="B55" t="s">
        <v>111</v>
      </c>
      <c r="C55" t="s">
        <v>7</v>
      </c>
      <c r="D55" t="s">
        <v>88</v>
      </c>
      <c r="E55" s="64">
        <v>45960</v>
      </c>
      <c r="F55" t="s">
        <v>174</v>
      </c>
    </row>
    <row r="56" spans="1:6" ht="12.75" customHeight="1" x14ac:dyDescent="0.15">
      <c r="A56" t="s">
        <v>97</v>
      </c>
      <c r="B56" t="s">
        <v>112</v>
      </c>
      <c r="C56" t="s">
        <v>5</v>
      </c>
      <c r="D56" t="s">
        <v>35</v>
      </c>
      <c r="E56" s="64">
        <v>45958</v>
      </c>
      <c r="F56" t="s">
        <v>176</v>
      </c>
    </row>
    <row r="57" spans="1:6" ht="12.75" customHeight="1" x14ac:dyDescent="0.15">
      <c r="A57" t="s">
        <v>97</v>
      </c>
      <c r="B57" t="s">
        <v>112</v>
      </c>
      <c r="C57" t="s">
        <v>6</v>
      </c>
      <c r="D57" t="s">
        <v>23</v>
      </c>
      <c r="E57" s="64">
        <v>45959</v>
      </c>
      <c r="F57" t="s">
        <v>180</v>
      </c>
    </row>
    <row r="58" spans="1:6" ht="12.75" customHeight="1" x14ac:dyDescent="0.15">
      <c r="A58" t="s">
        <v>97</v>
      </c>
      <c r="B58" t="s">
        <v>112</v>
      </c>
      <c r="C58" t="s">
        <v>7</v>
      </c>
      <c r="D58" t="s">
        <v>88</v>
      </c>
      <c r="E58" s="64">
        <v>45959</v>
      </c>
      <c r="F58" t="s">
        <v>174</v>
      </c>
    </row>
    <row r="59" spans="1:6" ht="12.75" customHeight="1" x14ac:dyDescent="0.15">
      <c r="A59" t="s">
        <v>97</v>
      </c>
      <c r="B59" t="s">
        <v>113</v>
      </c>
      <c r="C59" t="s">
        <v>5</v>
      </c>
      <c r="D59" t="s">
        <v>35</v>
      </c>
      <c r="E59" s="64">
        <v>45958</v>
      </c>
      <c r="F59" t="s">
        <v>176</v>
      </c>
    </row>
    <row r="60" spans="1:6" ht="12.75" customHeight="1" x14ac:dyDescent="0.15">
      <c r="A60" t="s">
        <v>97</v>
      </c>
      <c r="B60" t="s">
        <v>113</v>
      </c>
      <c r="C60" t="s">
        <v>6</v>
      </c>
      <c r="D60" t="s">
        <v>23</v>
      </c>
      <c r="E60" s="64">
        <v>45959</v>
      </c>
      <c r="F60" t="s">
        <v>180</v>
      </c>
    </row>
    <row r="61" spans="1:6" ht="12.75" customHeight="1" x14ac:dyDescent="0.15">
      <c r="A61" t="s">
        <v>97</v>
      </c>
      <c r="B61" t="s">
        <v>113</v>
      </c>
      <c r="C61" t="s">
        <v>7</v>
      </c>
      <c r="D61" t="s">
        <v>88</v>
      </c>
      <c r="E61" s="64">
        <v>45959</v>
      </c>
      <c r="F61" t="s">
        <v>174</v>
      </c>
    </row>
    <row r="62" spans="1:6" ht="12.75" customHeight="1" x14ac:dyDescent="0.15">
      <c r="A62" t="s">
        <v>97</v>
      </c>
      <c r="B62" t="s">
        <v>114</v>
      </c>
      <c r="C62" t="s">
        <v>5</v>
      </c>
      <c r="D62" t="s">
        <v>35</v>
      </c>
      <c r="E62" s="64">
        <v>45958</v>
      </c>
      <c r="F62" t="s">
        <v>176</v>
      </c>
    </row>
    <row r="63" spans="1:6" ht="12.75" customHeight="1" x14ac:dyDescent="0.15">
      <c r="A63" t="s">
        <v>97</v>
      </c>
      <c r="B63" t="s">
        <v>114</v>
      </c>
      <c r="C63" t="s">
        <v>6</v>
      </c>
      <c r="D63" t="s">
        <v>23</v>
      </c>
      <c r="E63" s="64">
        <v>45959</v>
      </c>
      <c r="F63" t="s">
        <v>180</v>
      </c>
    </row>
    <row r="64" spans="1:6" ht="12.75" customHeight="1" x14ac:dyDescent="0.15">
      <c r="A64" t="s">
        <v>97</v>
      </c>
      <c r="B64" t="s">
        <v>114</v>
      </c>
      <c r="C64" t="s">
        <v>7</v>
      </c>
      <c r="D64" t="s">
        <v>88</v>
      </c>
      <c r="E64" s="64">
        <v>45959</v>
      </c>
      <c r="F64" t="s">
        <v>174</v>
      </c>
    </row>
    <row r="65" spans="1:6" ht="12.75" customHeight="1" x14ac:dyDescent="0.15">
      <c r="A65" t="s">
        <v>97</v>
      </c>
      <c r="B65" t="s">
        <v>115</v>
      </c>
      <c r="C65" t="s">
        <v>5</v>
      </c>
      <c r="D65" t="s">
        <v>35</v>
      </c>
      <c r="E65" s="64">
        <v>45958</v>
      </c>
      <c r="F65" t="s">
        <v>176</v>
      </c>
    </row>
    <row r="66" spans="1:6" ht="12.75" customHeight="1" x14ac:dyDescent="0.15">
      <c r="A66" t="s">
        <v>97</v>
      </c>
      <c r="B66" t="s">
        <v>115</v>
      </c>
      <c r="C66" t="s">
        <v>6</v>
      </c>
      <c r="D66" t="s">
        <v>23</v>
      </c>
      <c r="E66" s="64">
        <v>45959</v>
      </c>
      <c r="F66" t="s">
        <v>180</v>
      </c>
    </row>
    <row r="67" spans="1:6" ht="12.75" customHeight="1" x14ac:dyDescent="0.15">
      <c r="A67" t="s">
        <v>97</v>
      </c>
      <c r="B67" t="s">
        <v>115</v>
      </c>
      <c r="C67" t="s">
        <v>7</v>
      </c>
      <c r="D67" t="s">
        <v>88</v>
      </c>
      <c r="E67" s="64">
        <v>45959</v>
      </c>
      <c r="F67" t="s">
        <v>174</v>
      </c>
    </row>
    <row r="68" spans="1:6" ht="12.75" customHeight="1" x14ac:dyDescent="0.15">
      <c r="A68" t="s">
        <v>97</v>
      </c>
      <c r="B68" t="s">
        <v>116</v>
      </c>
      <c r="C68" t="s">
        <v>5</v>
      </c>
      <c r="D68" t="s">
        <v>46</v>
      </c>
      <c r="E68" s="64">
        <v>45959</v>
      </c>
      <c r="F68" t="s">
        <v>178</v>
      </c>
    </row>
    <row r="69" spans="1:6" ht="12.75" customHeight="1" x14ac:dyDescent="0.15">
      <c r="A69" t="s">
        <v>97</v>
      </c>
      <c r="B69" t="s">
        <v>116</v>
      </c>
      <c r="C69" t="s">
        <v>6</v>
      </c>
      <c r="D69" t="s">
        <v>8</v>
      </c>
      <c r="E69" s="64">
        <v>45960</v>
      </c>
      <c r="F69" t="s">
        <v>173</v>
      </c>
    </row>
    <row r="70" spans="1:6" ht="12.75" customHeight="1" x14ac:dyDescent="0.15">
      <c r="A70" t="s">
        <v>97</v>
      </c>
      <c r="B70" t="s">
        <v>116</v>
      </c>
      <c r="C70" t="s">
        <v>7</v>
      </c>
      <c r="D70" t="s">
        <v>88</v>
      </c>
      <c r="E70" s="64">
        <v>45960</v>
      </c>
      <c r="F70" t="s">
        <v>174</v>
      </c>
    </row>
    <row r="71" spans="1:6" ht="12.75" customHeight="1" x14ac:dyDescent="0.15">
      <c r="A71" t="s">
        <v>117</v>
      </c>
      <c r="B71" t="s">
        <v>118</v>
      </c>
    </row>
    <row r="72" spans="1:6" ht="12.75" customHeight="1" x14ac:dyDescent="0.15">
      <c r="A72" t="s">
        <v>117</v>
      </c>
      <c r="B72" t="s">
        <v>119</v>
      </c>
      <c r="C72" t="s">
        <v>5</v>
      </c>
      <c r="D72" t="s">
        <v>35</v>
      </c>
      <c r="E72" s="64">
        <v>45959</v>
      </c>
      <c r="F72" t="s">
        <v>176</v>
      </c>
    </row>
    <row r="73" spans="1:6" ht="12.75" customHeight="1" x14ac:dyDescent="0.15">
      <c r="A73" t="s">
        <v>117</v>
      </c>
      <c r="B73" t="s">
        <v>119</v>
      </c>
      <c r="C73" t="s">
        <v>6</v>
      </c>
      <c r="D73" t="s">
        <v>8</v>
      </c>
      <c r="E73" s="64">
        <v>45960</v>
      </c>
      <c r="F73" t="s">
        <v>173</v>
      </c>
    </row>
    <row r="74" spans="1:6" ht="12.75" customHeight="1" x14ac:dyDescent="0.15">
      <c r="A74" t="s">
        <v>117</v>
      </c>
      <c r="B74" t="s">
        <v>119</v>
      </c>
      <c r="C74" t="s">
        <v>7</v>
      </c>
      <c r="D74" t="s">
        <v>88</v>
      </c>
      <c r="E74" s="64">
        <v>45960</v>
      </c>
      <c r="F74" t="s">
        <v>174</v>
      </c>
    </row>
    <row r="75" spans="1:6" ht="12.75" customHeight="1" x14ac:dyDescent="0.15">
      <c r="A75" t="s">
        <v>117</v>
      </c>
      <c r="B75" t="s">
        <v>120</v>
      </c>
      <c r="C75" t="s">
        <v>5</v>
      </c>
      <c r="D75" t="s">
        <v>76</v>
      </c>
      <c r="E75" s="64">
        <v>45958</v>
      </c>
      <c r="F75" t="s">
        <v>182</v>
      </c>
    </row>
    <row r="76" spans="1:6" ht="12.75" customHeight="1" x14ac:dyDescent="0.15">
      <c r="A76" t="s">
        <v>117</v>
      </c>
      <c r="B76" t="s">
        <v>120</v>
      </c>
      <c r="C76" t="s">
        <v>6</v>
      </c>
      <c r="D76" t="s">
        <v>35</v>
      </c>
      <c r="E76" s="64">
        <v>45959</v>
      </c>
      <c r="F76" t="s">
        <v>176</v>
      </c>
    </row>
    <row r="77" spans="1:6" ht="12.75" customHeight="1" x14ac:dyDescent="0.15">
      <c r="A77" t="s">
        <v>117</v>
      </c>
      <c r="B77" t="s">
        <v>120</v>
      </c>
      <c r="C77" t="s">
        <v>7</v>
      </c>
      <c r="D77" t="s">
        <v>23</v>
      </c>
      <c r="E77" s="64">
        <v>45959</v>
      </c>
      <c r="F77" t="s">
        <v>180</v>
      </c>
    </row>
    <row r="78" spans="1:6" ht="12.75" customHeight="1" x14ac:dyDescent="0.15">
      <c r="A78" t="s">
        <v>121</v>
      </c>
      <c r="B78" t="s">
        <v>122</v>
      </c>
      <c r="C78" t="s">
        <v>5</v>
      </c>
      <c r="D78" t="s">
        <v>8</v>
      </c>
      <c r="E78" s="64">
        <v>45959</v>
      </c>
      <c r="F78" t="s">
        <v>173</v>
      </c>
    </row>
    <row r="79" spans="1:6" ht="12.75" customHeight="1" x14ac:dyDescent="0.15">
      <c r="A79" t="s">
        <v>121</v>
      </c>
      <c r="B79" t="s">
        <v>122</v>
      </c>
      <c r="C79" t="s">
        <v>6</v>
      </c>
      <c r="D79" t="s">
        <v>8</v>
      </c>
      <c r="E79" s="64">
        <v>45960</v>
      </c>
      <c r="F79" t="s">
        <v>173</v>
      </c>
    </row>
    <row r="80" spans="1:6" ht="12.75" customHeight="1" x14ac:dyDescent="0.15">
      <c r="A80" t="s">
        <v>121</v>
      </c>
      <c r="B80" t="s">
        <v>122</v>
      </c>
      <c r="C80" t="s">
        <v>7</v>
      </c>
      <c r="D80" t="s">
        <v>88</v>
      </c>
      <c r="E80" s="64">
        <v>45960</v>
      </c>
      <c r="F80" t="s">
        <v>174</v>
      </c>
    </row>
    <row r="81" spans="1:6" ht="12.75" customHeight="1" x14ac:dyDescent="0.15">
      <c r="A81" t="s">
        <v>121</v>
      </c>
      <c r="B81" t="s">
        <v>123</v>
      </c>
      <c r="C81" t="s">
        <v>5</v>
      </c>
      <c r="D81" t="s">
        <v>23</v>
      </c>
      <c r="E81" s="64">
        <v>45959</v>
      </c>
      <c r="F81" t="s">
        <v>180</v>
      </c>
    </row>
    <row r="82" spans="1:6" ht="12.75" customHeight="1" x14ac:dyDescent="0.15">
      <c r="A82" t="s">
        <v>121</v>
      </c>
      <c r="B82" t="s">
        <v>123</v>
      </c>
      <c r="C82" t="s">
        <v>6</v>
      </c>
      <c r="D82" t="s">
        <v>8</v>
      </c>
      <c r="E82" s="64">
        <v>45960</v>
      </c>
      <c r="F82" t="s">
        <v>173</v>
      </c>
    </row>
    <row r="83" spans="1:6" ht="12.75" customHeight="1" x14ac:dyDescent="0.15">
      <c r="A83" t="s">
        <v>121</v>
      </c>
      <c r="B83" t="s">
        <v>123</v>
      </c>
      <c r="C83" t="s">
        <v>7</v>
      </c>
      <c r="D83" t="s">
        <v>88</v>
      </c>
      <c r="E83" s="64">
        <v>45960</v>
      </c>
      <c r="F83" t="s">
        <v>174</v>
      </c>
    </row>
    <row r="84" spans="1:6" ht="12.75" customHeight="1" x14ac:dyDescent="0.15">
      <c r="A84" t="s">
        <v>121</v>
      </c>
      <c r="B84" t="s">
        <v>124</v>
      </c>
      <c r="C84" t="s">
        <v>5</v>
      </c>
      <c r="D84" t="s">
        <v>23</v>
      </c>
      <c r="E84" s="64">
        <v>45960</v>
      </c>
      <c r="F84" t="s">
        <v>180</v>
      </c>
    </row>
    <row r="85" spans="1:6" ht="12.75" customHeight="1" x14ac:dyDescent="0.15">
      <c r="A85" t="s">
        <v>121</v>
      </c>
      <c r="B85" t="s">
        <v>124</v>
      </c>
      <c r="C85" t="s">
        <v>6</v>
      </c>
      <c r="D85" t="s">
        <v>87</v>
      </c>
      <c r="E85" s="64">
        <v>45964</v>
      </c>
      <c r="F85" t="s">
        <v>173</v>
      </c>
    </row>
    <row r="86" spans="1:6" ht="12.75" customHeight="1" x14ac:dyDescent="0.15">
      <c r="A86" t="s">
        <v>121</v>
      </c>
      <c r="B86" t="s">
        <v>124</v>
      </c>
      <c r="C86" t="s">
        <v>7</v>
      </c>
      <c r="D86" t="s">
        <v>88</v>
      </c>
      <c r="E86" s="64">
        <v>45964</v>
      </c>
      <c r="F86" t="s">
        <v>174</v>
      </c>
    </row>
    <row r="87" spans="1:6" ht="12.75" customHeight="1" x14ac:dyDescent="0.15">
      <c r="A87" t="s">
        <v>121</v>
      </c>
      <c r="B87" t="s">
        <v>125</v>
      </c>
      <c r="C87" t="s">
        <v>5</v>
      </c>
      <c r="D87" t="s">
        <v>35</v>
      </c>
      <c r="E87" s="64">
        <v>45960</v>
      </c>
      <c r="F87" t="s">
        <v>176</v>
      </c>
    </row>
    <row r="88" spans="1:6" ht="12.75" customHeight="1" x14ac:dyDescent="0.15">
      <c r="A88" t="s">
        <v>121</v>
      </c>
      <c r="B88" t="s">
        <v>125</v>
      </c>
      <c r="C88" t="s">
        <v>6</v>
      </c>
      <c r="D88" t="s">
        <v>23</v>
      </c>
      <c r="E88" s="64">
        <v>45964</v>
      </c>
      <c r="F88" t="s">
        <v>180</v>
      </c>
    </row>
    <row r="89" spans="1:6" ht="12.75" customHeight="1" x14ac:dyDescent="0.15">
      <c r="A89" t="s">
        <v>121</v>
      </c>
      <c r="B89" t="s">
        <v>125</v>
      </c>
      <c r="C89" t="s">
        <v>7</v>
      </c>
      <c r="D89" t="s">
        <v>88</v>
      </c>
      <c r="E89" s="64">
        <v>45964</v>
      </c>
      <c r="F89" t="s">
        <v>174</v>
      </c>
    </row>
    <row r="90" spans="1:6" ht="12.75" customHeight="1" x14ac:dyDescent="0.15">
      <c r="A90" t="s">
        <v>121</v>
      </c>
      <c r="B90" t="s">
        <v>126</v>
      </c>
      <c r="C90" t="s">
        <v>5</v>
      </c>
      <c r="D90" t="s">
        <v>46</v>
      </c>
      <c r="E90" s="64">
        <v>45960</v>
      </c>
      <c r="F90" t="s">
        <v>178</v>
      </c>
    </row>
    <row r="91" spans="1:6" ht="12.75" customHeight="1" x14ac:dyDescent="0.15">
      <c r="A91" t="s">
        <v>121</v>
      </c>
      <c r="B91" t="s">
        <v>126</v>
      </c>
      <c r="C91" t="s">
        <v>6</v>
      </c>
      <c r="D91" t="s">
        <v>8</v>
      </c>
      <c r="E91" s="64">
        <v>45964</v>
      </c>
      <c r="F91" t="s">
        <v>173</v>
      </c>
    </row>
    <row r="92" spans="1:6" ht="12.75" customHeight="1" x14ac:dyDescent="0.15">
      <c r="A92" t="s">
        <v>121</v>
      </c>
      <c r="B92" t="s">
        <v>126</v>
      </c>
      <c r="C92" t="s">
        <v>7</v>
      </c>
      <c r="D92" t="s">
        <v>88</v>
      </c>
      <c r="E92" s="64">
        <v>45964</v>
      </c>
      <c r="F92" t="s">
        <v>174</v>
      </c>
    </row>
    <row r="93" spans="1:6" ht="12.75" customHeight="1" x14ac:dyDescent="0.15">
      <c r="A93" t="s">
        <v>121</v>
      </c>
      <c r="B93" t="s">
        <v>127</v>
      </c>
      <c r="C93" t="s">
        <v>5</v>
      </c>
      <c r="D93" t="s">
        <v>46</v>
      </c>
      <c r="E93" s="64">
        <v>45959</v>
      </c>
      <c r="F93" t="s">
        <v>178</v>
      </c>
    </row>
    <row r="94" spans="1:6" ht="12.75" customHeight="1" x14ac:dyDescent="0.15">
      <c r="A94" t="s">
        <v>121</v>
      </c>
      <c r="B94" t="s">
        <v>127</v>
      </c>
      <c r="C94" t="s">
        <v>6</v>
      </c>
      <c r="D94" t="s">
        <v>8</v>
      </c>
      <c r="E94" s="64">
        <v>45960</v>
      </c>
      <c r="F94" t="s">
        <v>173</v>
      </c>
    </row>
    <row r="95" spans="1:6" ht="12.75" customHeight="1" x14ac:dyDescent="0.15">
      <c r="A95" t="s">
        <v>121</v>
      </c>
      <c r="B95" t="s">
        <v>127</v>
      </c>
      <c r="C95" t="s">
        <v>7</v>
      </c>
      <c r="D95" t="s">
        <v>88</v>
      </c>
      <c r="E95" s="64">
        <v>45960</v>
      </c>
      <c r="F95" t="s">
        <v>174</v>
      </c>
    </row>
    <row r="96" spans="1:6" ht="12.75" customHeight="1" x14ac:dyDescent="0.15">
      <c r="A96" t="s">
        <v>121</v>
      </c>
      <c r="B96" t="s">
        <v>128</v>
      </c>
      <c r="C96" t="s">
        <v>5</v>
      </c>
      <c r="D96" t="s">
        <v>46</v>
      </c>
      <c r="E96" s="64">
        <v>45960</v>
      </c>
      <c r="F96" t="s">
        <v>178</v>
      </c>
    </row>
    <row r="97" spans="1:6" ht="12.75" customHeight="1" x14ac:dyDescent="0.15">
      <c r="A97" t="s">
        <v>121</v>
      </c>
      <c r="B97" t="s">
        <v>128</v>
      </c>
      <c r="C97" t="s">
        <v>6</v>
      </c>
      <c r="D97" t="s">
        <v>8</v>
      </c>
      <c r="E97" s="64">
        <v>45960</v>
      </c>
      <c r="F97" t="s">
        <v>173</v>
      </c>
    </row>
    <row r="98" spans="1:6" ht="12.75" customHeight="1" x14ac:dyDescent="0.15">
      <c r="A98" t="s">
        <v>121</v>
      </c>
      <c r="B98" t="s">
        <v>128</v>
      </c>
      <c r="C98" t="s">
        <v>7</v>
      </c>
      <c r="D98" t="s">
        <v>88</v>
      </c>
      <c r="E98" s="64">
        <v>45960</v>
      </c>
      <c r="F98" t="s">
        <v>174</v>
      </c>
    </row>
    <row r="99" spans="1:6" ht="12.75" customHeight="1" x14ac:dyDescent="0.15">
      <c r="A99" t="s">
        <v>121</v>
      </c>
      <c r="B99" t="s">
        <v>129</v>
      </c>
      <c r="C99" t="s">
        <v>5</v>
      </c>
      <c r="D99" t="s">
        <v>57</v>
      </c>
      <c r="E99" s="64">
        <v>45959</v>
      </c>
      <c r="F99" t="s">
        <v>177</v>
      </c>
    </row>
    <row r="100" spans="1:6" ht="12.75" customHeight="1" x14ac:dyDescent="0.15">
      <c r="A100" t="s">
        <v>121</v>
      </c>
      <c r="B100" t="s">
        <v>129</v>
      </c>
      <c r="C100" t="s">
        <v>6</v>
      </c>
      <c r="D100" t="s">
        <v>46</v>
      </c>
      <c r="E100" s="64">
        <v>45960</v>
      </c>
      <c r="F100" t="s">
        <v>178</v>
      </c>
    </row>
    <row r="101" spans="1:6" ht="12.75" customHeight="1" x14ac:dyDescent="0.15">
      <c r="A101" t="s">
        <v>121</v>
      </c>
      <c r="B101" t="s">
        <v>129</v>
      </c>
      <c r="C101" t="s">
        <v>7</v>
      </c>
      <c r="D101" t="s">
        <v>8</v>
      </c>
      <c r="E101" s="64">
        <v>45960</v>
      </c>
      <c r="F101" t="s">
        <v>173</v>
      </c>
    </row>
    <row r="102" spans="1:6" ht="12.75" customHeight="1" x14ac:dyDescent="0.15">
      <c r="A102" t="s">
        <v>121</v>
      </c>
      <c r="B102" t="s">
        <v>130</v>
      </c>
      <c r="C102" t="s">
        <v>5</v>
      </c>
      <c r="D102" t="s">
        <v>131</v>
      </c>
      <c r="E102" s="64">
        <v>45960</v>
      </c>
      <c r="F102" t="s">
        <v>179</v>
      </c>
    </row>
    <row r="103" spans="1:6" ht="12.75" customHeight="1" x14ac:dyDescent="0.15">
      <c r="A103" t="s">
        <v>121</v>
      </c>
      <c r="B103" t="s">
        <v>130</v>
      </c>
      <c r="C103" t="s">
        <v>6</v>
      </c>
      <c r="D103" t="s">
        <v>8</v>
      </c>
      <c r="E103" s="64">
        <v>45960</v>
      </c>
      <c r="F103" t="s">
        <v>173</v>
      </c>
    </row>
    <row r="104" spans="1:6" ht="12.75" customHeight="1" x14ac:dyDescent="0.15">
      <c r="A104" t="s">
        <v>121</v>
      </c>
      <c r="B104" t="s">
        <v>130</v>
      </c>
      <c r="C104" t="s">
        <v>7</v>
      </c>
      <c r="D104" t="s">
        <v>88</v>
      </c>
      <c r="E104" s="64">
        <v>45960</v>
      </c>
      <c r="F104" t="s">
        <v>174</v>
      </c>
    </row>
    <row r="105" spans="1:6" ht="12.75" customHeight="1" x14ac:dyDescent="0.15">
      <c r="A105" t="s">
        <v>121</v>
      </c>
      <c r="B105" t="s">
        <v>132</v>
      </c>
      <c r="C105" t="s">
        <v>5</v>
      </c>
      <c r="D105" t="s">
        <v>70</v>
      </c>
      <c r="E105" s="64">
        <v>45960</v>
      </c>
      <c r="F105" t="s">
        <v>175</v>
      </c>
    </row>
    <row r="106" spans="1:6" ht="12.75" customHeight="1" x14ac:dyDescent="0.15">
      <c r="A106" t="s">
        <v>121</v>
      </c>
      <c r="B106" t="s">
        <v>132</v>
      </c>
      <c r="C106" t="s">
        <v>6</v>
      </c>
      <c r="D106" t="s">
        <v>35</v>
      </c>
      <c r="E106" s="64">
        <v>45960</v>
      </c>
      <c r="F106" t="s">
        <v>176</v>
      </c>
    </row>
    <row r="107" spans="1:6" ht="12.75" customHeight="1" x14ac:dyDescent="0.15">
      <c r="A107" t="s">
        <v>121</v>
      </c>
      <c r="B107" t="s">
        <v>132</v>
      </c>
      <c r="C107" t="s">
        <v>7</v>
      </c>
      <c r="D107" t="s">
        <v>88</v>
      </c>
      <c r="E107" s="64">
        <v>45960</v>
      </c>
      <c r="F107" t="s">
        <v>174</v>
      </c>
    </row>
    <row r="108" spans="1:6" ht="12.75" customHeight="1" x14ac:dyDescent="0.15">
      <c r="A108" t="s">
        <v>121</v>
      </c>
      <c r="B108" t="s">
        <v>133</v>
      </c>
      <c r="C108" t="s">
        <v>6</v>
      </c>
      <c r="D108" t="s">
        <v>87</v>
      </c>
      <c r="E108" s="64">
        <v>45960</v>
      </c>
      <c r="F108" t="s">
        <v>173</v>
      </c>
    </row>
    <row r="109" spans="1:6" ht="12.75" customHeight="1" x14ac:dyDescent="0.15">
      <c r="A109" t="s">
        <v>121</v>
      </c>
      <c r="B109" t="s">
        <v>134</v>
      </c>
      <c r="C109" t="s">
        <v>7</v>
      </c>
      <c r="D109" t="s">
        <v>88</v>
      </c>
      <c r="E109" s="64">
        <v>45960</v>
      </c>
      <c r="F109" t="s">
        <v>174</v>
      </c>
    </row>
    <row r="110" spans="1:6" ht="12.75" customHeight="1" x14ac:dyDescent="0.15"/>
    <row r="111" spans="1:6" ht="12.75" customHeight="1" x14ac:dyDescent="0.15"/>
    <row r="112" spans="1:6"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spans="2:5" ht="12.75" customHeight="1" x14ac:dyDescent="0.15"/>
    <row r="130" spans="2:5" ht="12.75" customHeight="1" x14ac:dyDescent="0.15"/>
    <row r="131" spans="2:5" ht="12.75" customHeight="1" x14ac:dyDescent="0.15"/>
    <row r="132" spans="2:5" ht="12.75" customHeight="1" x14ac:dyDescent="0.15"/>
    <row r="133" spans="2:5" ht="12.75" customHeight="1" x14ac:dyDescent="0.15"/>
    <row r="134" spans="2:5" ht="12.75" customHeight="1" x14ac:dyDescent="0.15"/>
    <row r="135" spans="2:5" ht="12.75" customHeight="1" x14ac:dyDescent="0.15"/>
    <row r="136" spans="2:5" ht="12.75" customHeight="1" x14ac:dyDescent="0.15"/>
    <row r="137" spans="2:5" ht="12.75" customHeight="1" x14ac:dyDescent="0.15"/>
    <row r="138" spans="2:5" ht="12.75" customHeight="1" x14ac:dyDescent="0.15"/>
    <row r="139" spans="2:5" ht="12.75" customHeight="1" x14ac:dyDescent="0.15"/>
    <row r="140" spans="2:5" ht="12.75" customHeight="1" x14ac:dyDescent="0.15"/>
    <row r="141" spans="2:5" ht="12.75" customHeight="1" x14ac:dyDescent="0.15"/>
    <row r="142" spans="2:5" ht="12.75" customHeight="1" x14ac:dyDescent="0.15"/>
    <row r="143" spans="2:5" ht="12.75" customHeight="1" x14ac:dyDescent="0.15"/>
    <row r="144" spans="2:5" ht="12.75" customHeight="1" x14ac:dyDescent="0.15">
      <c r="B144" s="33"/>
      <c r="E144" s="30"/>
    </row>
    <row r="145" spans="2:5" ht="12.75" customHeight="1" x14ac:dyDescent="0.15">
      <c r="B145" s="33"/>
      <c r="E145" s="30"/>
    </row>
    <row r="146" spans="2:5" ht="12.75" customHeight="1" x14ac:dyDescent="0.15">
      <c r="B146" s="33"/>
      <c r="E146" s="30"/>
    </row>
    <row r="147" spans="2:5" ht="12.75" customHeight="1" x14ac:dyDescent="0.15">
      <c r="B147" s="33"/>
      <c r="E147" s="30"/>
    </row>
    <row r="148" spans="2:5" ht="12.75" customHeight="1" x14ac:dyDescent="0.15">
      <c r="B148" s="33"/>
      <c r="E148" s="30"/>
    </row>
    <row r="149" spans="2:5" ht="12.75" customHeight="1" x14ac:dyDescent="0.15">
      <c r="B149" s="33"/>
      <c r="E149" s="30"/>
    </row>
    <row r="150" spans="2:5" ht="12.75" customHeight="1" x14ac:dyDescent="0.15">
      <c r="B150" s="33"/>
      <c r="E150" s="30"/>
    </row>
    <row r="151" spans="2:5" ht="12.75" customHeight="1" x14ac:dyDescent="0.15">
      <c r="B151" s="33"/>
      <c r="E151" s="30"/>
    </row>
    <row r="152" spans="2:5" ht="12.75" customHeight="1" x14ac:dyDescent="0.15">
      <c r="B152" s="33"/>
      <c r="E152" s="30"/>
    </row>
    <row r="153" spans="2:5" ht="12.75" customHeight="1" x14ac:dyDescent="0.15">
      <c r="B153" s="33"/>
      <c r="E153" s="30"/>
    </row>
    <row r="154" spans="2:5" ht="12.75" customHeight="1" x14ac:dyDescent="0.15">
      <c r="B154" s="33"/>
      <c r="E154" s="30"/>
    </row>
    <row r="155" spans="2:5" ht="12.75" customHeight="1" x14ac:dyDescent="0.15">
      <c r="B155" s="33"/>
      <c r="E155" s="30"/>
    </row>
    <row r="156" spans="2:5" ht="12.75" customHeight="1" x14ac:dyDescent="0.15">
      <c r="B156" s="33"/>
      <c r="E156" s="30"/>
    </row>
    <row r="157" spans="2:5" ht="12.75" customHeight="1" x14ac:dyDescent="0.15">
      <c r="B157" s="33"/>
      <c r="E157" s="30"/>
    </row>
    <row r="158" spans="2:5" ht="12.75" customHeight="1" x14ac:dyDescent="0.15">
      <c r="B158" s="33"/>
      <c r="E158" s="30"/>
    </row>
    <row r="159" spans="2:5" ht="12.75" customHeight="1" x14ac:dyDescent="0.15">
      <c r="B159" s="33"/>
      <c r="E159" s="30"/>
    </row>
    <row r="160" spans="2:5" ht="12.75" customHeight="1" x14ac:dyDescent="0.15">
      <c r="B160" s="33"/>
      <c r="E160" s="30"/>
    </row>
    <row r="161" spans="2:5" ht="12.75" customHeight="1" x14ac:dyDescent="0.15">
      <c r="B161" s="33"/>
      <c r="E161" s="30"/>
    </row>
    <row r="162" spans="2:5" ht="12.75" customHeight="1" x14ac:dyDescent="0.15">
      <c r="B162" s="33"/>
      <c r="E162" s="30"/>
    </row>
    <row r="163" spans="2:5" ht="12.75" customHeight="1" x14ac:dyDescent="0.15">
      <c r="B163" s="33"/>
      <c r="E163" s="30"/>
    </row>
    <row r="164" spans="2:5" ht="12.75" customHeight="1" x14ac:dyDescent="0.15">
      <c r="B164" s="33"/>
      <c r="E164" s="30"/>
    </row>
    <row r="165" spans="2:5" ht="12.75" customHeight="1" x14ac:dyDescent="0.15">
      <c r="B165" s="33"/>
      <c r="E165" s="30"/>
    </row>
    <row r="166" spans="2:5" ht="12.75" customHeight="1" x14ac:dyDescent="0.15">
      <c r="B166" s="33"/>
      <c r="E166" s="30"/>
    </row>
    <row r="167" spans="2:5" ht="12.75" customHeight="1" x14ac:dyDescent="0.15">
      <c r="B167" s="33"/>
      <c r="E167" s="30"/>
    </row>
    <row r="168" spans="2:5" ht="12.75" customHeight="1" x14ac:dyDescent="0.15">
      <c r="B168" s="33"/>
      <c r="E168" s="30"/>
    </row>
    <row r="169" spans="2:5" ht="12.75" customHeight="1" x14ac:dyDescent="0.15">
      <c r="B169" s="33"/>
      <c r="E169" s="30"/>
    </row>
    <row r="170" spans="2:5" ht="12.75" customHeight="1" x14ac:dyDescent="0.15">
      <c r="B170" s="33"/>
      <c r="E170" s="30"/>
    </row>
    <row r="171" spans="2:5" ht="12.75" customHeight="1" x14ac:dyDescent="0.15">
      <c r="B171" s="33"/>
      <c r="E171" s="30"/>
    </row>
    <row r="172" spans="2:5" ht="12.75" customHeight="1" x14ac:dyDescent="0.15">
      <c r="B172" s="33"/>
      <c r="E172" s="30"/>
    </row>
    <row r="173" spans="2:5" ht="12.75" customHeight="1" x14ac:dyDescent="0.15">
      <c r="B173" s="33"/>
      <c r="E173" s="30"/>
    </row>
    <row r="174" spans="2:5" ht="12.75" customHeight="1" x14ac:dyDescent="0.15">
      <c r="B174" s="33"/>
      <c r="E174" s="30"/>
    </row>
    <row r="175" spans="2:5" ht="12.75" customHeight="1" x14ac:dyDescent="0.15">
      <c r="B175" s="33"/>
      <c r="E175" s="30"/>
    </row>
    <row r="176" spans="2:5" ht="12.75" customHeight="1" x14ac:dyDescent="0.15">
      <c r="B176" s="33"/>
      <c r="E176" s="30"/>
    </row>
    <row r="177" spans="2:5" ht="12.75" customHeight="1" x14ac:dyDescent="0.15">
      <c r="B177" s="33"/>
      <c r="E177" s="30"/>
    </row>
    <row r="178" spans="2:5" ht="12.75" customHeight="1" x14ac:dyDescent="0.15">
      <c r="B178" s="33"/>
      <c r="E178" s="30"/>
    </row>
    <row r="179" spans="2:5" ht="12.75" customHeight="1" x14ac:dyDescent="0.15">
      <c r="B179" s="33"/>
      <c r="E179" s="30"/>
    </row>
    <row r="180" spans="2:5" ht="12.75" customHeight="1" x14ac:dyDescent="0.15">
      <c r="B180" s="33"/>
      <c r="E180" s="30"/>
    </row>
    <row r="181" spans="2:5" ht="12.75" customHeight="1" x14ac:dyDescent="0.15">
      <c r="B181" s="33"/>
      <c r="E181" s="30"/>
    </row>
    <row r="182" spans="2:5" ht="12.75" customHeight="1" x14ac:dyDescent="0.15">
      <c r="B182" s="33"/>
      <c r="E182" s="30"/>
    </row>
    <row r="183" spans="2:5" ht="12.75" customHeight="1" x14ac:dyDescent="0.15">
      <c r="B183" s="33"/>
      <c r="E183" s="30"/>
    </row>
    <row r="184" spans="2:5" ht="12.75" customHeight="1" x14ac:dyDescent="0.15">
      <c r="B184" s="33"/>
      <c r="E184" s="30"/>
    </row>
    <row r="185" spans="2:5" ht="12.75" customHeight="1" x14ac:dyDescent="0.15">
      <c r="B185" s="33"/>
      <c r="E185" s="30"/>
    </row>
    <row r="186" spans="2:5" ht="12.75" customHeight="1" x14ac:dyDescent="0.15">
      <c r="B186" s="33"/>
      <c r="E186" s="30"/>
    </row>
    <row r="187" spans="2:5" ht="12.75" customHeight="1" x14ac:dyDescent="0.15">
      <c r="B187" s="33"/>
      <c r="E187" s="30"/>
    </row>
    <row r="188" spans="2:5" ht="12.75" customHeight="1" x14ac:dyDescent="0.15">
      <c r="B188" s="33"/>
      <c r="E188" s="30"/>
    </row>
    <row r="189" spans="2:5" ht="12.75" customHeight="1" x14ac:dyDescent="0.15">
      <c r="B189" s="33"/>
      <c r="E189" s="30"/>
    </row>
    <row r="190" spans="2:5" ht="12.75" customHeight="1" x14ac:dyDescent="0.15">
      <c r="B190" s="33"/>
      <c r="E190" s="30"/>
    </row>
    <row r="191" spans="2:5" ht="12.75" customHeight="1" x14ac:dyDescent="0.15">
      <c r="B191" s="33"/>
      <c r="E191" s="30"/>
    </row>
    <row r="192" spans="2:5" ht="12.75" customHeight="1" x14ac:dyDescent="0.15">
      <c r="B192" s="33"/>
      <c r="E192" s="30"/>
    </row>
    <row r="193" spans="2:5" ht="12.75" customHeight="1" x14ac:dyDescent="0.15">
      <c r="B193" s="33"/>
      <c r="E193" s="30"/>
    </row>
    <row r="194" spans="2:5" ht="12.75" customHeight="1" x14ac:dyDescent="0.15">
      <c r="B194" s="33"/>
      <c r="E194" s="30"/>
    </row>
    <row r="195" spans="2:5" ht="12.75" customHeight="1" x14ac:dyDescent="0.15">
      <c r="B195" s="33"/>
      <c r="E195" s="30"/>
    </row>
    <row r="196" spans="2:5" ht="12.75" customHeight="1" x14ac:dyDescent="0.15">
      <c r="B196" s="33"/>
      <c r="E196" s="30"/>
    </row>
    <row r="197" spans="2:5" ht="12.75" customHeight="1" x14ac:dyDescent="0.15">
      <c r="B197" s="33"/>
      <c r="E197" s="30"/>
    </row>
    <row r="198" spans="2:5" ht="12.75" customHeight="1" x14ac:dyDescent="0.15">
      <c r="B198" s="33"/>
      <c r="E198" s="30"/>
    </row>
    <row r="199" spans="2:5" ht="12.75" customHeight="1" x14ac:dyDescent="0.15">
      <c r="B199" s="33"/>
      <c r="E199" s="30"/>
    </row>
    <row r="200" spans="2:5" ht="12.75" customHeight="1" x14ac:dyDescent="0.15">
      <c r="B200" s="33"/>
      <c r="E200" s="30"/>
    </row>
    <row r="201" spans="2:5" ht="12.75" customHeight="1" x14ac:dyDescent="0.15">
      <c r="B201" s="33"/>
      <c r="E201" s="30"/>
    </row>
    <row r="202" spans="2:5" ht="12.75" customHeight="1" x14ac:dyDescent="0.15">
      <c r="B202" s="33"/>
      <c r="E202" s="30"/>
    </row>
    <row r="203" spans="2:5" ht="12.75" customHeight="1" x14ac:dyDescent="0.15">
      <c r="B203" s="33"/>
      <c r="E203" s="30"/>
    </row>
    <row r="204" spans="2:5" ht="12.75" customHeight="1" x14ac:dyDescent="0.15">
      <c r="B204" s="33"/>
      <c r="E204" s="30"/>
    </row>
    <row r="205" spans="2:5" ht="12.75" customHeight="1" x14ac:dyDescent="0.15">
      <c r="B205" s="33"/>
      <c r="E205" s="30"/>
    </row>
    <row r="206" spans="2:5" ht="12.75" customHeight="1" x14ac:dyDescent="0.15">
      <c r="B206" s="33"/>
      <c r="E206" s="30"/>
    </row>
    <row r="207" spans="2:5" ht="12.75" customHeight="1" x14ac:dyDescent="0.15">
      <c r="B207" s="33"/>
      <c r="E207" s="30"/>
    </row>
    <row r="208" spans="2:5" ht="12.75" customHeight="1" x14ac:dyDescent="0.15">
      <c r="B208" s="33"/>
      <c r="E208" s="30"/>
    </row>
    <row r="209" spans="2:5" ht="12.75" customHeight="1" x14ac:dyDescent="0.15">
      <c r="B209" s="33"/>
      <c r="E209" s="30"/>
    </row>
    <row r="210" spans="2:5" ht="12.75" customHeight="1" x14ac:dyDescent="0.15">
      <c r="B210" s="33"/>
      <c r="E210" s="30"/>
    </row>
    <row r="211" spans="2:5" ht="12.75" customHeight="1" x14ac:dyDescent="0.15">
      <c r="B211" s="33"/>
      <c r="E211" s="30"/>
    </row>
    <row r="212" spans="2:5" ht="12.75" customHeight="1" x14ac:dyDescent="0.15">
      <c r="B212" s="33"/>
      <c r="E212" s="30"/>
    </row>
    <row r="213" spans="2:5" ht="12.75" customHeight="1" x14ac:dyDescent="0.15">
      <c r="B213" s="33"/>
      <c r="E213" s="30"/>
    </row>
    <row r="214" spans="2:5" ht="12.75" customHeight="1" x14ac:dyDescent="0.15">
      <c r="B214" s="33"/>
      <c r="E214" s="30"/>
    </row>
    <row r="215" spans="2:5" ht="12.75" customHeight="1" x14ac:dyDescent="0.15">
      <c r="B215" s="33"/>
      <c r="E215" s="30"/>
    </row>
    <row r="216" spans="2:5" ht="12.75" customHeight="1" x14ac:dyDescent="0.15">
      <c r="B216" s="33"/>
      <c r="E216" s="30"/>
    </row>
    <row r="217" spans="2:5" ht="12.75" customHeight="1" x14ac:dyDescent="0.15">
      <c r="B217" s="33"/>
      <c r="E217" s="30"/>
    </row>
    <row r="218" spans="2:5" ht="12.75" customHeight="1" x14ac:dyDescent="0.15">
      <c r="B218" s="33"/>
      <c r="E218" s="30"/>
    </row>
    <row r="219" spans="2:5" ht="12.75" customHeight="1" x14ac:dyDescent="0.15">
      <c r="B219" s="33"/>
      <c r="E219" s="30"/>
    </row>
    <row r="220" spans="2:5" ht="12.75" customHeight="1" x14ac:dyDescent="0.15">
      <c r="B220" s="33"/>
      <c r="E220" s="30"/>
    </row>
    <row r="221" spans="2:5" ht="12.75" customHeight="1" x14ac:dyDescent="0.15">
      <c r="B221" s="33"/>
      <c r="E221" s="30"/>
    </row>
    <row r="222" spans="2:5" ht="12.75" customHeight="1" x14ac:dyDescent="0.15">
      <c r="B222" s="33"/>
      <c r="E222" s="30"/>
    </row>
    <row r="223" spans="2:5" ht="12.75" customHeight="1" x14ac:dyDescent="0.15">
      <c r="B223" s="33"/>
      <c r="E223" s="30"/>
    </row>
    <row r="224" spans="2:5" ht="12.75" customHeight="1" x14ac:dyDescent="0.15">
      <c r="B224" s="33"/>
      <c r="E224" s="30"/>
    </row>
    <row r="225" spans="2:5" ht="12.75" customHeight="1" x14ac:dyDescent="0.15">
      <c r="B225" s="33"/>
      <c r="E225" s="30"/>
    </row>
    <row r="226" spans="2:5" ht="12.75" customHeight="1" x14ac:dyDescent="0.15">
      <c r="B226" s="33"/>
      <c r="E226" s="30"/>
    </row>
    <row r="227" spans="2:5" ht="12.75" customHeight="1" x14ac:dyDescent="0.15">
      <c r="B227" s="33"/>
      <c r="E227" s="30"/>
    </row>
    <row r="228" spans="2:5" ht="12.75" customHeight="1" x14ac:dyDescent="0.15">
      <c r="B228" s="33"/>
      <c r="E228" s="30"/>
    </row>
    <row r="229" spans="2:5" ht="12.75" customHeight="1" x14ac:dyDescent="0.15">
      <c r="B229" s="33"/>
      <c r="E229" s="30"/>
    </row>
    <row r="230" spans="2:5" ht="12.75" customHeight="1" x14ac:dyDescent="0.15">
      <c r="B230" s="33"/>
      <c r="E230" s="30"/>
    </row>
    <row r="231" spans="2:5" ht="12.75" customHeight="1" x14ac:dyDescent="0.15">
      <c r="B231" s="33"/>
      <c r="E231" s="30"/>
    </row>
    <row r="232" spans="2:5" ht="12.75" customHeight="1" x14ac:dyDescent="0.15">
      <c r="B232" s="33"/>
      <c r="E232" s="30"/>
    </row>
    <row r="233" spans="2:5" ht="12.75" customHeight="1" x14ac:dyDescent="0.15">
      <c r="B233" s="33"/>
      <c r="E233" s="30"/>
    </row>
    <row r="234" spans="2:5" ht="12.75" customHeight="1" x14ac:dyDescent="0.15">
      <c r="B234" s="33"/>
      <c r="E234" s="30"/>
    </row>
    <row r="235" spans="2:5" ht="12.75" customHeight="1" x14ac:dyDescent="0.15">
      <c r="B235" s="33"/>
      <c r="E235" s="30"/>
    </row>
    <row r="236" spans="2:5" ht="12.75" customHeight="1" x14ac:dyDescent="0.15">
      <c r="B236" s="33"/>
      <c r="E236" s="30"/>
    </row>
    <row r="237" spans="2:5" ht="12.75" customHeight="1" x14ac:dyDescent="0.15">
      <c r="B237" s="33"/>
      <c r="E237" s="30"/>
    </row>
    <row r="238" spans="2:5" ht="12.75" customHeight="1" x14ac:dyDescent="0.15">
      <c r="B238" s="33"/>
      <c r="E238" s="30"/>
    </row>
    <row r="239" spans="2:5" ht="12.75" customHeight="1" x14ac:dyDescent="0.15">
      <c r="B239" s="33"/>
      <c r="E239" s="30"/>
    </row>
    <row r="240" spans="2:5" ht="12.75" customHeight="1" x14ac:dyDescent="0.15">
      <c r="B240" s="33"/>
      <c r="E240" s="30"/>
    </row>
    <row r="241" spans="2:5" ht="12.75" customHeight="1" x14ac:dyDescent="0.15">
      <c r="B241" s="33"/>
      <c r="E241" s="30"/>
    </row>
    <row r="242" spans="2:5" ht="12.75" customHeight="1" x14ac:dyDescent="0.15">
      <c r="B242" s="33"/>
      <c r="E242" s="30"/>
    </row>
    <row r="243" spans="2:5" ht="12.75" customHeight="1" x14ac:dyDescent="0.15">
      <c r="B243" s="33"/>
      <c r="E243" s="30"/>
    </row>
    <row r="244" spans="2:5" ht="12.75" customHeight="1" x14ac:dyDescent="0.15">
      <c r="B244" s="33"/>
      <c r="E244" s="30"/>
    </row>
    <row r="245" spans="2:5" ht="12.75" customHeight="1" x14ac:dyDescent="0.15">
      <c r="B245" s="33"/>
      <c r="E245" s="30"/>
    </row>
    <row r="246" spans="2:5" ht="12.75" customHeight="1" x14ac:dyDescent="0.15">
      <c r="B246" s="33"/>
      <c r="E246" s="30"/>
    </row>
    <row r="247" spans="2:5" ht="12.75" customHeight="1" x14ac:dyDescent="0.15">
      <c r="B247" s="33"/>
      <c r="E247" s="30"/>
    </row>
    <row r="248" spans="2:5" ht="12.75" customHeight="1" x14ac:dyDescent="0.15">
      <c r="B248" s="33"/>
      <c r="E248" s="30"/>
    </row>
    <row r="249" spans="2:5" ht="12.75" customHeight="1" x14ac:dyDescent="0.15">
      <c r="B249" s="33"/>
      <c r="E249" s="30"/>
    </row>
    <row r="250" spans="2:5" ht="12.75" customHeight="1" x14ac:dyDescent="0.15">
      <c r="B250" s="33"/>
      <c r="E250" s="30"/>
    </row>
    <row r="251" spans="2:5" ht="12.75" customHeight="1" x14ac:dyDescent="0.15">
      <c r="B251" s="33"/>
      <c r="E251" s="30"/>
    </row>
    <row r="252" spans="2:5" ht="12.75" customHeight="1" x14ac:dyDescent="0.15">
      <c r="B252" s="33"/>
      <c r="E252" s="30"/>
    </row>
    <row r="253" spans="2:5" ht="12.75" customHeight="1" x14ac:dyDescent="0.15">
      <c r="B253" s="33"/>
      <c r="E253" s="30"/>
    </row>
    <row r="254" spans="2:5" ht="12.75" customHeight="1" x14ac:dyDescent="0.15">
      <c r="B254" s="33"/>
      <c r="E254" s="30"/>
    </row>
    <row r="255" spans="2:5" ht="12.75" customHeight="1" x14ac:dyDescent="0.15">
      <c r="B255" s="33"/>
      <c r="E255" s="30"/>
    </row>
    <row r="256" spans="2:5" ht="12.75" customHeight="1" x14ac:dyDescent="0.15">
      <c r="B256" s="33"/>
      <c r="E256" s="30"/>
    </row>
    <row r="257" spans="2:5" ht="12.75" customHeight="1" x14ac:dyDescent="0.15">
      <c r="B257" s="33"/>
      <c r="E257" s="30"/>
    </row>
    <row r="258" spans="2:5" ht="12.75" customHeight="1" x14ac:dyDescent="0.15">
      <c r="B258" s="33"/>
      <c r="E258" s="30"/>
    </row>
    <row r="259" spans="2:5" ht="12.75" customHeight="1" x14ac:dyDescent="0.15">
      <c r="B259" s="33"/>
      <c r="E259" s="30"/>
    </row>
    <row r="260" spans="2:5" ht="12.75" customHeight="1" x14ac:dyDescent="0.15">
      <c r="B260" s="33"/>
      <c r="E260" s="30"/>
    </row>
    <row r="261" spans="2:5" ht="12.75" customHeight="1" x14ac:dyDescent="0.15">
      <c r="B261" s="33"/>
      <c r="E261" s="30"/>
    </row>
    <row r="262" spans="2:5" ht="12.75" customHeight="1" x14ac:dyDescent="0.15">
      <c r="B262" s="33"/>
      <c r="E262" s="30"/>
    </row>
    <row r="263" spans="2:5" ht="12.75" customHeight="1" x14ac:dyDescent="0.15">
      <c r="B263" s="33"/>
      <c r="E263" s="30"/>
    </row>
    <row r="264" spans="2:5" ht="12.75" customHeight="1" x14ac:dyDescent="0.15">
      <c r="B264" s="33"/>
      <c r="E264" s="30"/>
    </row>
    <row r="265" spans="2:5" ht="12.75" customHeight="1" x14ac:dyDescent="0.15">
      <c r="B265" s="33"/>
      <c r="E265" s="30"/>
    </row>
    <row r="266" spans="2:5" ht="12.75" customHeight="1" x14ac:dyDescent="0.15">
      <c r="B266" s="33"/>
      <c r="E266" s="30"/>
    </row>
    <row r="267" spans="2:5" ht="12.75" customHeight="1" x14ac:dyDescent="0.15">
      <c r="B267" s="33"/>
      <c r="E267" s="30"/>
    </row>
    <row r="268" spans="2:5" ht="12.75" customHeight="1" x14ac:dyDescent="0.15">
      <c r="B268" s="33"/>
      <c r="E268" s="30"/>
    </row>
    <row r="269" spans="2:5" ht="12.75" customHeight="1" x14ac:dyDescent="0.15">
      <c r="B269" s="33"/>
      <c r="E269" s="30"/>
    </row>
    <row r="270" spans="2:5" ht="12.75" customHeight="1" x14ac:dyDescent="0.15">
      <c r="B270" s="33"/>
      <c r="E270" s="30"/>
    </row>
    <row r="271" spans="2:5" ht="12.75" customHeight="1" x14ac:dyDescent="0.15">
      <c r="B271" s="33"/>
      <c r="E271" s="30"/>
    </row>
    <row r="272" spans="2:5" ht="12.75" customHeight="1" x14ac:dyDescent="0.15">
      <c r="B272" s="33"/>
      <c r="E272" s="30"/>
    </row>
    <row r="273" spans="2:5" ht="12.75" customHeight="1" x14ac:dyDescent="0.15">
      <c r="B273" s="33"/>
      <c r="E273" s="30"/>
    </row>
    <row r="274" spans="2:5" ht="12.75" customHeight="1" x14ac:dyDescent="0.15">
      <c r="B274" s="33"/>
      <c r="E274" s="30"/>
    </row>
    <row r="275" spans="2:5" ht="12.75" customHeight="1" x14ac:dyDescent="0.15">
      <c r="B275" s="33"/>
      <c r="E275" s="30"/>
    </row>
    <row r="276" spans="2:5" ht="12.75" customHeight="1" x14ac:dyDescent="0.15">
      <c r="B276" s="33"/>
      <c r="E276" s="30"/>
    </row>
    <row r="277" spans="2:5" ht="12.75" customHeight="1" x14ac:dyDescent="0.15">
      <c r="B277" s="33"/>
      <c r="E277" s="30"/>
    </row>
    <row r="278" spans="2:5" ht="12.75" customHeight="1" x14ac:dyDescent="0.15">
      <c r="B278" s="33"/>
      <c r="E278" s="30"/>
    </row>
    <row r="279" spans="2:5" ht="12.75" customHeight="1" x14ac:dyDescent="0.15">
      <c r="B279" s="33"/>
      <c r="E279" s="30"/>
    </row>
    <row r="280" spans="2:5" ht="12.75" customHeight="1" x14ac:dyDescent="0.15">
      <c r="B280" s="33"/>
      <c r="E280" s="30"/>
    </row>
    <row r="281" spans="2:5" ht="12.75" customHeight="1" x14ac:dyDescent="0.15">
      <c r="B281" s="33"/>
      <c r="E281" s="30"/>
    </row>
    <row r="282" spans="2:5" ht="12.75" customHeight="1" x14ac:dyDescent="0.15">
      <c r="B282" s="33"/>
      <c r="E282" s="30"/>
    </row>
    <row r="283" spans="2:5" ht="12.75" customHeight="1" x14ac:dyDescent="0.15">
      <c r="B283" s="33"/>
      <c r="E283" s="30"/>
    </row>
    <row r="284" spans="2:5" ht="12.75" customHeight="1" x14ac:dyDescent="0.15">
      <c r="B284" s="33"/>
      <c r="E284" s="30"/>
    </row>
    <row r="285" spans="2:5" ht="12.75" customHeight="1" x14ac:dyDescent="0.15">
      <c r="B285" s="33"/>
      <c r="E285" s="30"/>
    </row>
    <row r="286" spans="2:5" ht="12.75" customHeight="1" x14ac:dyDescent="0.15">
      <c r="B286" s="33"/>
      <c r="E286" s="30"/>
    </row>
    <row r="287" spans="2:5" ht="12.75" customHeight="1" x14ac:dyDescent="0.15">
      <c r="B287" s="33"/>
      <c r="E287" s="30"/>
    </row>
    <row r="288" spans="2:5" ht="12.75" customHeight="1" x14ac:dyDescent="0.15">
      <c r="B288" s="33"/>
      <c r="E288" s="30"/>
    </row>
    <row r="289" spans="2:5" ht="12.75" customHeight="1" x14ac:dyDescent="0.15">
      <c r="B289" s="33"/>
      <c r="E289" s="30"/>
    </row>
    <row r="290" spans="2:5" ht="12.75" customHeight="1" x14ac:dyDescent="0.15">
      <c r="B290" s="33"/>
      <c r="E290" s="30"/>
    </row>
    <row r="291" spans="2:5" ht="12.75" customHeight="1" x14ac:dyDescent="0.15">
      <c r="B291" s="33"/>
      <c r="E291" s="30"/>
    </row>
    <row r="292" spans="2:5" ht="12.75" customHeight="1" x14ac:dyDescent="0.15">
      <c r="B292" s="33"/>
      <c r="E292" s="30"/>
    </row>
    <row r="293" spans="2:5" ht="12.75" customHeight="1" x14ac:dyDescent="0.15">
      <c r="B293" s="33"/>
      <c r="E293" s="30"/>
    </row>
    <row r="294" spans="2:5" ht="12.75" customHeight="1" x14ac:dyDescent="0.15">
      <c r="B294" s="33"/>
      <c r="E294" s="30"/>
    </row>
    <row r="295" spans="2:5" ht="12.75" customHeight="1" x14ac:dyDescent="0.15">
      <c r="B295" s="33"/>
      <c r="E295" s="30"/>
    </row>
    <row r="296" spans="2:5" ht="12.75" customHeight="1" x14ac:dyDescent="0.15">
      <c r="B296" s="33"/>
      <c r="E296" s="30"/>
    </row>
    <row r="297" spans="2:5" ht="12.75" customHeight="1" x14ac:dyDescent="0.15">
      <c r="B297" s="33"/>
      <c r="E297" s="30"/>
    </row>
    <row r="298" spans="2:5" ht="12.75" customHeight="1" x14ac:dyDescent="0.15">
      <c r="B298" s="33"/>
      <c r="E298" s="30"/>
    </row>
    <row r="299" spans="2:5" ht="12.75" customHeight="1" x14ac:dyDescent="0.15">
      <c r="B299" s="33"/>
      <c r="E299" s="30"/>
    </row>
    <row r="300" spans="2:5" ht="12.75" customHeight="1" x14ac:dyDescent="0.15">
      <c r="B300" s="33"/>
      <c r="E300" s="30"/>
    </row>
    <row r="301" spans="2:5" ht="12.75" customHeight="1" x14ac:dyDescent="0.15">
      <c r="B301" s="33"/>
      <c r="E301" s="30"/>
    </row>
    <row r="302" spans="2:5" ht="12.75" customHeight="1" x14ac:dyDescent="0.15">
      <c r="B302" s="33"/>
      <c r="E302" s="30"/>
    </row>
    <row r="303" spans="2:5" ht="12.75" customHeight="1" x14ac:dyDescent="0.15">
      <c r="B303" s="33"/>
      <c r="E303" s="30"/>
    </row>
    <row r="304" spans="2:5" ht="12.75" customHeight="1" x14ac:dyDescent="0.15">
      <c r="B304" s="33"/>
      <c r="E304" s="30"/>
    </row>
    <row r="305" spans="2:5" ht="12.75" customHeight="1" x14ac:dyDescent="0.15">
      <c r="B305" s="33"/>
      <c r="E305" s="30"/>
    </row>
    <row r="306" spans="2:5" ht="12.75" customHeight="1" x14ac:dyDescent="0.15">
      <c r="B306" s="33"/>
      <c r="E306" s="30"/>
    </row>
    <row r="307" spans="2:5" ht="12.75" customHeight="1" x14ac:dyDescent="0.15">
      <c r="B307" s="33"/>
      <c r="E307" s="30"/>
    </row>
    <row r="308" spans="2:5" ht="12.75" customHeight="1" x14ac:dyDescent="0.15">
      <c r="B308" s="33"/>
      <c r="E308" s="30"/>
    </row>
    <row r="309" spans="2:5" ht="12.75" customHeight="1" x14ac:dyDescent="0.15">
      <c r="B309" s="33"/>
      <c r="E309" s="30"/>
    </row>
    <row r="310" spans="2:5" ht="12.75" customHeight="1" x14ac:dyDescent="0.15">
      <c r="B310" s="33"/>
      <c r="E310" s="30"/>
    </row>
    <row r="311" spans="2:5" ht="12.75" customHeight="1" x14ac:dyDescent="0.15">
      <c r="B311" s="33"/>
      <c r="E311" s="30"/>
    </row>
    <row r="312" spans="2:5" ht="12.75" customHeight="1" x14ac:dyDescent="0.15">
      <c r="B312" s="33"/>
      <c r="E312" s="30"/>
    </row>
    <row r="313" spans="2:5" ht="12.75" customHeight="1" x14ac:dyDescent="0.15">
      <c r="B313" s="33"/>
      <c r="E313" s="30"/>
    </row>
    <row r="314" spans="2:5" ht="12.75" customHeight="1" x14ac:dyDescent="0.15">
      <c r="B314" s="33"/>
      <c r="E314" s="30"/>
    </row>
    <row r="315" spans="2:5" ht="12.75" customHeight="1" x14ac:dyDescent="0.15">
      <c r="B315" s="33"/>
      <c r="E315" s="30"/>
    </row>
    <row r="316" spans="2:5" ht="12.75" customHeight="1" x14ac:dyDescent="0.15">
      <c r="B316" s="33"/>
      <c r="E316" s="30"/>
    </row>
    <row r="317" spans="2:5" ht="12.75" customHeight="1" x14ac:dyDescent="0.15">
      <c r="B317" s="33"/>
      <c r="E317" s="30"/>
    </row>
    <row r="318" spans="2:5" ht="12.75" customHeight="1" x14ac:dyDescent="0.15">
      <c r="B318" s="33"/>
      <c r="E318" s="30"/>
    </row>
    <row r="319" spans="2:5" ht="12.75" customHeight="1" x14ac:dyDescent="0.15">
      <c r="B319" s="33"/>
      <c r="E319" s="30"/>
    </row>
    <row r="320" spans="2:5" ht="12.75" customHeight="1" x14ac:dyDescent="0.15">
      <c r="B320" s="33"/>
      <c r="E320" s="30"/>
    </row>
    <row r="321" spans="2:5" ht="12.75" customHeight="1" x14ac:dyDescent="0.15">
      <c r="B321" s="33"/>
      <c r="E321" s="30"/>
    </row>
    <row r="322" spans="2:5" ht="12.75" customHeight="1" x14ac:dyDescent="0.15">
      <c r="B322" s="33"/>
      <c r="E322" s="30"/>
    </row>
    <row r="323" spans="2:5" ht="12.75" customHeight="1" x14ac:dyDescent="0.15">
      <c r="B323" s="33"/>
      <c r="E323" s="30"/>
    </row>
    <row r="324" spans="2:5" ht="12.75" customHeight="1" x14ac:dyDescent="0.15">
      <c r="B324" s="33"/>
      <c r="E324" s="30"/>
    </row>
    <row r="325" spans="2:5" ht="12.75" customHeight="1" x14ac:dyDescent="0.15">
      <c r="B325" s="33"/>
      <c r="E325" s="30"/>
    </row>
    <row r="326" spans="2:5" ht="12.75" customHeight="1" x14ac:dyDescent="0.15">
      <c r="B326" s="33"/>
      <c r="E326" s="30"/>
    </row>
    <row r="327" spans="2:5" ht="12.75" customHeight="1" x14ac:dyDescent="0.15">
      <c r="B327" s="33"/>
      <c r="E327" s="30"/>
    </row>
    <row r="328" spans="2:5" ht="12.75" customHeight="1" x14ac:dyDescent="0.15">
      <c r="B328" s="33"/>
      <c r="E328" s="30"/>
    </row>
    <row r="329" spans="2:5" ht="12.75" customHeight="1" x14ac:dyDescent="0.15">
      <c r="B329" s="33"/>
      <c r="E329" s="30"/>
    </row>
    <row r="330" spans="2:5" ht="12.75" customHeight="1" x14ac:dyDescent="0.15">
      <c r="B330" s="33"/>
      <c r="E330" s="30"/>
    </row>
    <row r="331" spans="2:5" ht="12.75" customHeight="1" x14ac:dyDescent="0.15">
      <c r="B331" s="33"/>
      <c r="E331" s="30"/>
    </row>
    <row r="332" spans="2:5" ht="12.75" customHeight="1" x14ac:dyDescent="0.15">
      <c r="B332" s="33"/>
      <c r="E332" s="30"/>
    </row>
    <row r="333" spans="2:5" ht="12.75" customHeight="1" x14ac:dyDescent="0.15">
      <c r="B333" s="33"/>
      <c r="E333" s="30"/>
    </row>
    <row r="334" spans="2:5" ht="12.75" customHeight="1" x14ac:dyDescent="0.15">
      <c r="B334" s="33"/>
      <c r="E334" s="30"/>
    </row>
    <row r="335" spans="2:5" ht="12.75" customHeight="1" x14ac:dyDescent="0.15">
      <c r="B335" s="33"/>
      <c r="E335" s="30"/>
    </row>
    <row r="336" spans="2:5" ht="12.75" customHeight="1" x14ac:dyDescent="0.15">
      <c r="B336" s="33"/>
      <c r="E336" s="30"/>
    </row>
    <row r="337" spans="2:5" ht="12.75" customHeight="1" x14ac:dyDescent="0.15">
      <c r="B337" s="33"/>
      <c r="E337" s="30"/>
    </row>
    <row r="338" spans="2:5" ht="12.75" customHeight="1" x14ac:dyDescent="0.15">
      <c r="B338" s="33"/>
      <c r="E338" s="30"/>
    </row>
    <row r="339" spans="2:5" ht="12.75" customHeight="1" x14ac:dyDescent="0.15">
      <c r="B339" s="33"/>
      <c r="E339" s="30"/>
    </row>
    <row r="340" spans="2:5" ht="12.75" customHeight="1" x14ac:dyDescent="0.15">
      <c r="B340" s="33"/>
      <c r="E340" s="30"/>
    </row>
    <row r="341" spans="2:5" ht="12.75" customHeight="1" x14ac:dyDescent="0.15">
      <c r="B341" s="33"/>
      <c r="E341" s="30"/>
    </row>
    <row r="342" spans="2:5" ht="12.75" customHeight="1" x14ac:dyDescent="0.15">
      <c r="B342" s="33"/>
      <c r="E342" s="30"/>
    </row>
    <row r="343" spans="2:5" ht="12.75" customHeight="1" x14ac:dyDescent="0.15">
      <c r="B343" s="33"/>
      <c r="E343" s="30"/>
    </row>
    <row r="344" spans="2:5" ht="12.75" customHeight="1" x14ac:dyDescent="0.15">
      <c r="B344" s="33"/>
      <c r="E344" s="30"/>
    </row>
    <row r="345" spans="2:5" ht="12.75" customHeight="1" x14ac:dyDescent="0.15">
      <c r="B345" s="33"/>
      <c r="E345" s="30"/>
    </row>
    <row r="346" spans="2:5" ht="12.75" customHeight="1" x14ac:dyDescent="0.15">
      <c r="B346" s="33"/>
      <c r="E346" s="30"/>
    </row>
    <row r="347" spans="2:5" ht="12.75" customHeight="1" x14ac:dyDescent="0.15">
      <c r="B347" s="33"/>
      <c r="E347" s="30"/>
    </row>
    <row r="348" spans="2:5" ht="12.75" customHeight="1" x14ac:dyDescent="0.15">
      <c r="B348" s="33"/>
      <c r="E348" s="30"/>
    </row>
    <row r="349" spans="2:5" ht="12.75" customHeight="1" x14ac:dyDescent="0.15">
      <c r="B349" s="33"/>
      <c r="E349" s="30"/>
    </row>
    <row r="350" spans="2:5" ht="12.75" customHeight="1" x14ac:dyDescent="0.15">
      <c r="B350" s="33"/>
      <c r="E350" s="30"/>
    </row>
    <row r="351" spans="2:5" ht="12.75" customHeight="1" x14ac:dyDescent="0.15">
      <c r="B351" s="33"/>
      <c r="E351" s="30"/>
    </row>
    <row r="352" spans="2:5" ht="12.75" customHeight="1" x14ac:dyDescent="0.15">
      <c r="B352" s="33"/>
      <c r="E352" s="30"/>
    </row>
    <row r="353" spans="2:5" ht="12.75" customHeight="1" x14ac:dyDescent="0.15">
      <c r="B353" s="33"/>
      <c r="E353" s="30"/>
    </row>
    <row r="354" spans="2:5" ht="12.75" customHeight="1" x14ac:dyDescent="0.15">
      <c r="B354" s="33"/>
      <c r="E354" s="30"/>
    </row>
    <row r="355" spans="2:5" ht="12.75" customHeight="1" x14ac:dyDescent="0.15">
      <c r="B355" s="33"/>
      <c r="E355" s="30"/>
    </row>
    <row r="356" spans="2:5" ht="12.75" customHeight="1" x14ac:dyDescent="0.15">
      <c r="B356" s="33"/>
      <c r="E356" s="30"/>
    </row>
    <row r="357" spans="2:5" ht="12.75" customHeight="1" x14ac:dyDescent="0.15">
      <c r="B357" s="33"/>
      <c r="E357" s="30"/>
    </row>
    <row r="358" spans="2:5" ht="12.75" customHeight="1" x14ac:dyDescent="0.15">
      <c r="B358" s="33"/>
      <c r="E358" s="30"/>
    </row>
    <row r="359" spans="2:5" ht="12.75" customHeight="1" x14ac:dyDescent="0.15">
      <c r="B359" s="33"/>
      <c r="E359" s="30"/>
    </row>
    <row r="360" spans="2:5" ht="12.75" customHeight="1" x14ac:dyDescent="0.15">
      <c r="B360" s="33"/>
      <c r="E360" s="30"/>
    </row>
    <row r="361" spans="2:5" ht="12.75" customHeight="1" x14ac:dyDescent="0.15">
      <c r="B361" s="33"/>
      <c r="E361" s="30"/>
    </row>
    <row r="362" spans="2:5" ht="12.75" customHeight="1" x14ac:dyDescent="0.15">
      <c r="B362" s="33"/>
      <c r="E362" s="30"/>
    </row>
    <row r="363" spans="2:5" ht="12.75" customHeight="1" x14ac:dyDescent="0.15">
      <c r="B363" s="33"/>
      <c r="E363" s="30"/>
    </row>
    <row r="364" spans="2:5" ht="12.75" customHeight="1" x14ac:dyDescent="0.15">
      <c r="B364" s="33"/>
      <c r="E364" s="30"/>
    </row>
    <row r="365" spans="2:5" ht="12.75" customHeight="1" x14ac:dyDescent="0.15">
      <c r="B365" s="33"/>
      <c r="E365" s="30"/>
    </row>
    <row r="366" spans="2:5" ht="12.75" customHeight="1" x14ac:dyDescent="0.15">
      <c r="B366" s="33"/>
      <c r="E366" s="30"/>
    </row>
    <row r="367" spans="2:5" ht="12.75" customHeight="1" x14ac:dyDescent="0.15">
      <c r="B367" s="33"/>
      <c r="E367" s="30"/>
    </row>
    <row r="368" spans="2:5" ht="12.75" customHeight="1" x14ac:dyDescent="0.15">
      <c r="B368" s="33"/>
      <c r="E368" s="30"/>
    </row>
    <row r="369" spans="2:5" ht="12.75" customHeight="1" x14ac:dyDescent="0.15">
      <c r="B369" s="33"/>
      <c r="E369" s="30"/>
    </row>
    <row r="370" spans="2:5" ht="12.75" customHeight="1" x14ac:dyDescent="0.15">
      <c r="B370" s="33"/>
      <c r="E370" s="30"/>
    </row>
    <row r="371" spans="2:5" ht="12.75" customHeight="1" x14ac:dyDescent="0.15">
      <c r="B371" s="33"/>
      <c r="E371" s="30"/>
    </row>
    <row r="372" spans="2:5" ht="12.75" customHeight="1" x14ac:dyDescent="0.15">
      <c r="B372" s="33"/>
      <c r="E372" s="30"/>
    </row>
    <row r="373" spans="2:5" ht="12.75" customHeight="1" x14ac:dyDescent="0.15">
      <c r="B373" s="33"/>
      <c r="E373" s="30"/>
    </row>
    <row r="374" spans="2:5" ht="12.75" customHeight="1" x14ac:dyDescent="0.15">
      <c r="B374" s="33"/>
      <c r="E374" s="30"/>
    </row>
    <row r="375" spans="2:5" ht="12.75" customHeight="1" x14ac:dyDescent="0.15">
      <c r="B375" s="33"/>
      <c r="E375" s="30"/>
    </row>
    <row r="376" spans="2:5" ht="12.75" customHeight="1" x14ac:dyDescent="0.15">
      <c r="B376" s="33"/>
      <c r="E376" s="30"/>
    </row>
    <row r="377" spans="2:5" ht="12.75" customHeight="1" x14ac:dyDescent="0.15">
      <c r="B377" s="33"/>
      <c r="E377" s="30"/>
    </row>
    <row r="378" spans="2:5" ht="12.75" customHeight="1" x14ac:dyDescent="0.15">
      <c r="B378" s="33"/>
      <c r="E378" s="30"/>
    </row>
    <row r="379" spans="2:5" ht="12.75" customHeight="1" x14ac:dyDescent="0.15">
      <c r="B379" s="33"/>
      <c r="E379" s="30"/>
    </row>
    <row r="380" spans="2:5" ht="12.75" customHeight="1" x14ac:dyDescent="0.15">
      <c r="B380" s="33"/>
      <c r="E380" s="30"/>
    </row>
    <row r="381" spans="2:5" ht="12.75" customHeight="1" x14ac:dyDescent="0.15">
      <c r="B381" s="33"/>
      <c r="E381" s="30"/>
    </row>
    <row r="382" spans="2:5" ht="12.75" customHeight="1" x14ac:dyDescent="0.15">
      <c r="B382" s="33"/>
      <c r="E382" s="30"/>
    </row>
    <row r="383" spans="2:5" ht="12.75" customHeight="1" x14ac:dyDescent="0.15">
      <c r="B383" s="33"/>
      <c r="E383" s="30"/>
    </row>
    <row r="384" spans="2:5" ht="12.75" customHeight="1" x14ac:dyDescent="0.15">
      <c r="B384" s="33"/>
      <c r="E384" s="30"/>
    </row>
    <row r="385" spans="2:5" ht="12.75" customHeight="1" x14ac:dyDescent="0.15">
      <c r="B385" s="33"/>
      <c r="E385" s="30"/>
    </row>
    <row r="386" spans="2:5" ht="12.75" customHeight="1" x14ac:dyDescent="0.15">
      <c r="B386" s="33"/>
      <c r="E386" s="30"/>
    </row>
    <row r="387" spans="2:5" ht="12.75" customHeight="1" x14ac:dyDescent="0.15">
      <c r="B387" s="33"/>
      <c r="E387" s="30"/>
    </row>
    <row r="388" spans="2:5" ht="12.75" customHeight="1" x14ac:dyDescent="0.15">
      <c r="B388" s="33"/>
      <c r="E388" s="30"/>
    </row>
    <row r="389" spans="2:5" ht="12.75" customHeight="1" x14ac:dyDescent="0.15">
      <c r="B389" s="33"/>
      <c r="E389" s="30"/>
    </row>
    <row r="390" spans="2:5" ht="12.75" customHeight="1" x14ac:dyDescent="0.15">
      <c r="B390" s="33"/>
      <c r="E390" s="30"/>
    </row>
    <row r="391" spans="2:5" ht="12.75" customHeight="1" x14ac:dyDescent="0.15">
      <c r="B391" s="33"/>
      <c r="E391" s="30"/>
    </row>
    <row r="392" spans="2:5" ht="12.75" customHeight="1" x14ac:dyDescent="0.15">
      <c r="B392" s="33"/>
      <c r="E392" s="30"/>
    </row>
    <row r="393" spans="2:5" ht="12.75" customHeight="1" x14ac:dyDescent="0.15">
      <c r="B393" s="33"/>
      <c r="E393" s="30"/>
    </row>
    <row r="394" spans="2:5" ht="12.75" customHeight="1" x14ac:dyDescent="0.15">
      <c r="B394" s="33"/>
      <c r="E394" s="30"/>
    </row>
    <row r="395" spans="2:5" ht="12.75" customHeight="1" x14ac:dyDescent="0.15">
      <c r="B395" s="33"/>
      <c r="E395" s="30"/>
    </row>
    <row r="396" spans="2:5" ht="12.75" customHeight="1" x14ac:dyDescent="0.15">
      <c r="B396" s="33"/>
      <c r="E396" s="30"/>
    </row>
    <row r="397" spans="2:5" ht="12.75" customHeight="1" x14ac:dyDescent="0.15">
      <c r="B397" s="33"/>
      <c r="E397" s="30"/>
    </row>
    <row r="398" spans="2:5" ht="12.75" customHeight="1" x14ac:dyDescent="0.15">
      <c r="B398" s="33"/>
      <c r="E398" s="30"/>
    </row>
    <row r="399" spans="2:5" ht="12.75" customHeight="1" x14ac:dyDescent="0.15">
      <c r="B399" s="33"/>
      <c r="E399" s="30"/>
    </row>
    <row r="400" spans="2:5" ht="12.75" customHeight="1" x14ac:dyDescent="0.15">
      <c r="B400" s="33"/>
      <c r="E400" s="30"/>
    </row>
    <row r="401" spans="2:5" ht="12.75" customHeight="1" x14ac:dyDescent="0.15">
      <c r="B401" s="33"/>
      <c r="E401" s="30"/>
    </row>
    <row r="402" spans="2:5" ht="12.75" customHeight="1" x14ac:dyDescent="0.15">
      <c r="B402" s="33"/>
      <c r="E402" s="30"/>
    </row>
    <row r="403" spans="2:5" ht="12.75" customHeight="1" x14ac:dyDescent="0.15">
      <c r="B403" s="33"/>
      <c r="E403" s="30"/>
    </row>
    <row r="404" spans="2:5" ht="12.75" customHeight="1" x14ac:dyDescent="0.15">
      <c r="B404" s="33"/>
      <c r="E404" s="30"/>
    </row>
    <row r="405" spans="2:5" ht="12.75" customHeight="1" x14ac:dyDescent="0.15">
      <c r="B405" s="33"/>
      <c r="E405" s="30"/>
    </row>
    <row r="406" spans="2:5" ht="12.75" customHeight="1" x14ac:dyDescent="0.15">
      <c r="B406" s="33"/>
      <c r="E406" s="30"/>
    </row>
    <row r="407" spans="2:5" ht="12.75" customHeight="1" x14ac:dyDescent="0.15">
      <c r="B407" s="33"/>
      <c r="E407" s="30"/>
    </row>
    <row r="408" spans="2:5" ht="12.75" customHeight="1" x14ac:dyDescent="0.15">
      <c r="B408" s="33"/>
      <c r="E408" s="30"/>
    </row>
    <row r="409" spans="2:5" ht="12.75" customHeight="1" x14ac:dyDescent="0.15">
      <c r="B409" s="33"/>
      <c r="E409" s="30"/>
    </row>
    <row r="410" spans="2:5" ht="12.75" customHeight="1" x14ac:dyDescent="0.15">
      <c r="B410" s="33"/>
      <c r="E410" s="30"/>
    </row>
    <row r="411" spans="2:5" ht="12.75" customHeight="1" x14ac:dyDescent="0.15">
      <c r="B411" s="33"/>
      <c r="E411" s="30"/>
    </row>
    <row r="412" spans="2:5" ht="12.75" customHeight="1" x14ac:dyDescent="0.15">
      <c r="B412" s="33"/>
      <c r="E412" s="30"/>
    </row>
    <row r="413" spans="2:5" ht="12.75" customHeight="1" x14ac:dyDescent="0.15">
      <c r="B413" s="33"/>
      <c r="E413" s="30"/>
    </row>
    <row r="414" spans="2:5" ht="12.75" customHeight="1" x14ac:dyDescent="0.15">
      <c r="B414" s="33"/>
      <c r="E414" s="30"/>
    </row>
    <row r="415" spans="2:5" ht="12.75" customHeight="1" x14ac:dyDescent="0.15">
      <c r="B415" s="33"/>
      <c r="E415" s="30"/>
    </row>
    <row r="416" spans="2:5" ht="12.75" customHeight="1" x14ac:dyDescent="0.15">
      <c r="B416" s="33"/>
      <c r="E416" s="30"/>
    </row>
    <row r="417" spans="2:5" ht="12.75" customHeight="1" x14ac:dyDescent="0.15">
      <c r="B417" s="33"/>
      <c r="E417" s="30"/>
    </row>
    <row r="418" spans="2:5" ht="12.75" customHeight="1" x14ac:dyDescent="0.15">
      <c r="B418" s="33"/>
      <c r="E418" s="30"/>
    </row>
    <row r="419" spans="2:5" ht="12.75" customHeight="1" x14ac:dyDescent="0.15">
      <c r="B419" s="33"/>
      <c r="E419" s="30"/>
    </row>
    <row r="420" spans="2:5" ht="12.75" customHeight="1" x14ac:dyDescent="0.15">
      <c r="B420" s="33"/>
      <c r="E420" s="30"/>
    </row>
    <row r="421" spans="2:5" ht="12.75" customHeight="1" x14ac:dyDescent="0.15">
      <c r="B421" s="33"/>
      <c r="E421" s="30"/>
    </row>
    <row r="422" spans="2:5" ht="12.75" customHeight="1" x14ac:dyDescent="0.15">
      <c r="B422" s="33"/>
      <c r="E422" s="30"/>
    </row>
    <row r="423" spans="2:5" ht="12.75" customHeight="1" x14ac:dyDescent="0.15">
      <c r="B423" s="33"/>
      <c r="E423" s="30"/>
    </row>
    <row r="424" spans="2:5" ht="12.75" customHeight="1" x14ac:dyDescent="0.15">
      <c r="B424" s="33"/>
      <c r="E424" s="30"/>
    </row>
    <row r="425" spans="2:5" ht="12.75" customHeight="1" x14ac:dyDescent="0.15">
      <c r="B425" s="33"/>
      <c r="E425" s="30"/>
    </row>
    <row r="426" spans="2:5" ht="12.75" customHeight="1" x14ac:dyDescent="0.15">
      <c r="B426" s="33"/>
      <c r="E426" s="30"/>
    </row>
    <row r="427" spans="2:5" ht="12.75" customHeight="1" x14ac:dyDescent="0.15">
      <c r="B427" s="33"/>
      <c r="E427" s="30"/>
    </row>
    <row r="428" spans="2:5" ht="12.75" customHeight="1" x14ac:dyDescent="0.15">
      <c r="B428" s="33"/>
      <c r="E428" s="30"/>
    </row>
    <row r="429" spans="2:5" ht="12.75" customHeight="1" x14ac:dyDescent="0.15">
      <c r="B429" s="33"/>
      <c r="E429" s="30"/>
    </row>
    <row r="430" spans="2:5" ht="12.75" customHeight="1" x14ac:dyDescent="0.15">
      <c r="B430" s="33"/>
      <c r="E430" s="30"/>
    </row>
    <row r="431" spans="2:5" ht="12.75" customHeight="1" x14ac:dyDescent="0.15">
      <c r="B431" s="33"/>
      <c r="E431" s="30"/>
    </row>
    <row r="432" spans="2:5" ht="12.75" customHeight="1" x14ac:dyDescent="0.15">
      <c r="B432" s="33"/>
      <c r="E432" s="30"/>
    </row>
    <row r="433" spans="2:5" ht="12.75" customHeight="1" x14ac:dyDescent="0.15">
      <c r="B433" s="33"/>
      <c r="E433" s="30"/>
    </row>
    <row r="434" spans="2:5" ht="12.75" customHeight="1" x14ac:dyDescent="0.15">
      <c r="B434" s="33"/>
      <c r="E434" s="30"/>
    </row>
    <row r="435" spans="2:5" ht="12.75" customHeight="1" x14ac:dyDescent="0.15">
      <c r="B435" s="33"/>
      <c r="E435" s="30"/>
    </row>
    <row r="436" spans="2:5" ht="12.75" customHeight="1" x14ac:dyDescent="0.15">
      <c r="B436" s="33"/>
      <c r="E436" s="30"/>
    </row>
    <row r="437" spans="2:5" ht="12.75" customHeight="1" x14ac:dyDescent="0.15">
      <c r="B437" s="33"/>
      <c r="E437" s="30"/>
    </row>
    <row r="438" spans="2:5" ht="12.75" customHeight="1" x14ac:dyDescent="0.15">
      <c r="B438" s="33"/>
      <c r="E438" s="30"/>
    </row>
    <row r="439" spans="2:5" ht="12.75" customHeight="1" x14ac:dyDescent="0.15">
      <c r="B439" s="33"/>
      <c r="E439" s="30"/>
    </row>
    <row r="440" spans="2:5" ht="12.75" customHeight="1" x14ac:dyDescent="0.15">
      <c r="B440" s="33"/>
      <c r="E440" s="30"/>
    </row>
    <row r="441" spans="2:5" ht="12.75" customHeight="1" x14ac:dyDescent="0.15">
      <c r="B441" s="33"/>
      <c r="E441" s="30"/>
    </row>
    <row r="442" spans="2:5" ht="12.75" customHeight="1" x14ac:dyDescent="0.15">
      <c r="B442" s="33"/>
      <c r="E442" s="30"/>
    </row>
    <row r="443" spans="2:5" ht="12.75" customHeight="1" x14ac:dyDescent="0.15">
      <c r="B443" s="33"/>
      <c r="E443" s="30"/>
    </row>
    <row r="444" spans="2:5" ht="12.75" customHeight="1" x14ac:dyDescent="0.15">
      <c r="B444" s="33"/>
      <c r="E444" s="30"/>
    </row>
    <row r="445" spans="2:5" ht="12.75" customHeight="1" x14ac:dyDescent="0.15">
      <c r="B445" s="33"/>
      <c r="E445" s="30"/>
    </row>
    <row r="446" spans="2:5" ht="12.75" customHeight="1" x14ac:dyDescent="0.15">
      <c r="B446" s="33"/>
      <c r="E446" s="30"/>
    </row>
    <row r="447" spans="2:5" ht="12.75" customHeight="1" x14ac:dyDescent="0.15">
      <c r="B447" s="33"/>
      <c r="E447" s="30"/>
    </row>
    <row r="448" spans="2:5" ht="12.75" customHeight="1" x14ac:dyDescent="0.15">
      <c r="B448" s="33"/>
      <c r="E448" s="30"/>
    </row>
    <row r="449" spans="2:5" ht="12.75" customHeight="1" x14ac:dyDescent="0.15">
      <c r="B449" s="33"/>
      <c r="E449" s="30"/>
    </row>
    <row r="450" spans="2:5" ht="12.75" customHeight="1" x14ac:dyDescent="0.15">
      <c r="B450" s="33"/>
      <c r="E450" s="30"/>
    </row>
    <row r="451" spans="2:5" ht="12.75" customHeight="1" x14ac:dyDescent="0.15">
      <c r="B451" s="33"/>
      <c r="E451" s="30"/>
    </row>
    <row r="452" spans="2:5" ht="12.75" customHeight="1" x14ac:dyDescent="0.15">
      <c r="B452" s="33"/>
      <c r="E452" s="30"/>
    </row>
    <row r="453" spans="2:5" ht="12.75" customHeight="1" x14ac:dyDescent="0.15">
      <c r="B453" s="33"/>
      <c r="E453" s="30"/>
    </row>
    <row r="454" spans="2:5" ht="12.75" customHeight="1" x14ac:dyDescent="0.15">
      <c r="B454" s="33"/>
      <c r="E454" s="30"/>
    </row>
    <row r="455" spans="2:5" ht="12.75" customHeight="1" x14ac:dyDescent="0.15">
      <c r="B455" s="33"/>
      <c r="E455" s="30"/>
    </row>
    <row r="456" spans="2:5" ht="12.75" customHeight="1" x14ac:dyDescent="0.15">
      <c r="B456" s="33"/>
      <c r="E456" s="30"/>
    </row>
    <row r="457" spans="2:5" ht="12.75" customHeight="1" x14ac:dyDescent="0.15">
      <c r="B457" s="33"/>
      <c r="E457" s="30"/>
    </row>
    <row r="458" spans="2:5" ht="12.75" customHeight="1" x14ac:dyDescent="0.15">
      <c r="B458" s="33"/>
      <c r="E458" s="30"/>
    </row>
    <row r="459" spans="2:5" ht="12.75" customHeight="1" x14ac:dyDescent="0.15">
      <c r="B459" s="33"/>
      <c r="E459" s="30"/>
    </row>
    <row r="460" spans="2:5" ht="12.75" customHeight="1" x14ac:dyDescent="0.15">
      <c r="B460" s="33"/>
      <c r="E460" s="30"/>
    </row>
    <row r="461" spans="2:5" ht="12.75" customHeight="1" x14ac:dyDescent="0.15">
      <c r="B461" s="33"/>
      <c r="E461" s="30"/>
    </row>
    <row r="462" spans="2:5" ht="12.75" customHeight="1" x14ac:dyDescent="0.15">
      <c r="B462" s="33"/>
      <c r="E462" s="30"/>
    </row>
    <row r="463" spans="2:5" ht="12.75" customHeight="1" x14ac:dyDescent="0.15">
      <c r="B463" s="33"/>
      <c r="E463" s="30"/>
    </row>
    <row r="464" spans="2:5" ht="12.75" customHeight="1" x14ac:dyDescent="0.15">
      <c r="B464" s="33"/>
      <c r="E464" s="30"/>
    </row>
    <row r="465" spans="2:5" ht="12.75" customHeight="1" x14ac:dyDescent="0.15">
      <c r="B465" s="33"/>
      <c r="E465" s="30"/>
    </row>
    <row r="466" spans="2:5" ht="12.75" customHeight="1" x14ac:dyDescent="0.15">
      <c r="B466" s="33"/>
      <c r="E466" s="30"/>
    </row>
    <row r="467" spans="2:5" ht="12.75" customHeight="1" x14ac:dyDescent="0.15">
      <c r="B467" s="33"/>
      <c r="E467" s="30"/>
    </row>
    <row r="468" spans="2:5" ht="12.75" customHeight="1" x14ac:dyDescent="0.15">
      <c r="B468" s="33"/>
      <c r="E468" s="30"/>
    </row>
    <row r="469" spans="2:5" ht="12.75" customHeight="1" x14ac:dyDescent="0.15">
      <c r="B469" s="33"/>
      <c r="E469" s="30"/>
    </row>
    <row r="470" spans="2:5" ht="12.75" customHeight="1" x14ac:dyDescent="0.15">
      <c r="B470" s="33"/>
      <c r="E470" s="30"/>
    </row>
    <row r="471" spans="2:5" ht="12.75" customHeight="1" x14ac:dyDescent="0.15">
      <c r="B471" s="33"/>
      <c r="E471" s="30"/>
    </row>
    <row r="472" spans="2:5" ht="12.75" customHeight="1" x14ac:dyDescent="0.15">
      <c r="B472" s="33"/>
      <c r="E472" s="30"/>
    </row>
    <row r="473" spans="2:5" ht="12.75" customHeight="1" x14ac:dyDescent="0.15">
      <c r="B473" s="33"/>
      <c r="E473" s="30"/>
    </row>
    <row r="474" spans="2:5" ht="12.75" customHeight="1" x14ac:dyDescent="0.15">
      <c r="B474" s="33"/>
      <c r="E474" s="30"/>
    </row>
    <row r="475" spans="2:5" ht="12.75" customHeight="1" x14ac:dyDescent="0.15">
      <c r="B475" s="33"/>
      <c r="E475" s="30"/>
    </row>
    <row r="476" spans="2:5" ht="12.75" customHeight="1" x14ac:dyDescent="0.15">
      <c r="B476" s="33"/>
      <c r="E476" s="30"/>
    </row>
    <row r="477" spans="2:5" ht="12.75" customHeight="1" x14ac:dyDescent="0.15">
      <c r="B477" s="33"/>
      <c r="E477" s="30"/>
    </row>
    <row r="478" spans="2:5" ht="12.75" customHeight="1" x14ac:dyDescent="0.15">
      <c r="B478" s="33"/>
      <c r="E478" s="30"/>
    </row>
    <row r="479" spans="2:5" ht="12.75" customHeight="1" x14ac:dyDescent="0.15">
      <c r="B479" s="33"/>
      <c r="E479" s="30"/>
    </row>
    <row r="480" spans="2:5" ht="12.75" customHeight="1" x14ac:dyDescent="0.15">
      <c r="B480" s="33"/>
      <c r="E480" s="30"/>
    </row>
    <row r="481" spans="2:5" ht="12.75" customHeight="1" x14ac:dyDescent="0.15">
      <c r="B481" s="33"/>
      <c r="E481" s="30"/>
    </row>
    <row r="482" spans="2:5" ht="12.75" customHeight="1" x14ac:dyDescent="0.15">
      <c r="B482" s="33"/>
      <c r="E482" s="30"/>
    </row>
    <row r="483" spans="2:5" ht="12.75" customHeight="1" x14ac:dyDescent="0.15">
      <c r="B483" s="33"/>
      <c r="E483" s="30"/>
    </row>
    <row r="484" spans="2:5" ht="12.75" customHeight="1" x14ac:dyDescent="0.15">
      <c r="B484" s="33"/>
      <c r="E484" s="30"/>
    </row>
    <row r="485" spans="2:5" ht="12.75" customHeight="1" x14ac:dyDescent="0.15">
      <c r="B485" s="33"/>
      <c r="E485" s="30"/>
    </row>
    <row r="486" spans="2:5" ht="12.75" customHeight="1" x14ac:dyDescent="0.15">
      <c r="B486" s="33"/>
      <c r="E486" s="30"/>
    </row>
    <row r="487" spans="2:5" ht="12.75" customHeight="1" x14ac:dyDescent="0.15">
      <c r="B487" s="33"/>
      <c r="E487" s="30"/>
    </row>
    <row r="488" spans="2:5" ht="12.75" customHeight="1" x14ac:dyDescent="0.15">
      <c r="B488" s="33"/>
      <c r="E488" s="30"/>
    </row>
    <row r="489" spans="2:5" ht="12.75" customHeight="1" x14ac:dyDescent="0.15">
      <c r="B489" s="33"/>
      <c r="E489" s="30"/>
    </row>
    <row r="490" spans="2:5" ht="12.75" customHeight="1" x14ac:dyDescent="0.15">
      <c r="B490" s="33"/>
      <c r="E490" s="30"/>
    </row>
    <row r="491" spans="2:5" ht="12.75" customHeight="1" x14ac:dyDescent="0.15">
      <c r="B491" s="33"/>
      <c r="E491" s="30"/>
    </row>
    <row r="492" spans="2:5" ht="12.75" customHeight="1" x14ac:dyDescent="0.15">
      <c r="B492" s="33"/>
      <c r="E492" s="30"/>
    </row>
    <row r="493" spans="2:5" ht="12.75" customHeight="1" x14ac:dyDescent="0.15">
      <c r="B493" s="33"/>
      <c r="E493" s="30"/>
    </row>
    <row r="494" spans="2:5" ht="12.75" customHeight="1" x14ac:dyDescent="0.15">
      <c r="B494" s="33"/>
      <c r="E494" s="30"/>
    </row>
    <row r="495" spans="2:5" ht="12.75" customHeight="1" x14ac:dyDescent="0.15">
      <c r="B495" s="33"/>
      <c r="E495" s="30"/>
    </row>
    <row r="496" spans="2:5" ht="12.75" customHeight="1" x14ac:dyDescent="0.15">
      <c r="B496" s="33"/>
      <c r="E496" s="30"/>
    </row>
    <row r="497" spans="2:5" ht="12.75" customHeight="1" x14ac:dyDescent="0.15">
      <c r="B497" s="33"/>
      <c r="E497" s="30"/>
    </row>
    <row r="498" spans="2:5" ht="12.75" customHeight="1" x14ac:dyDescent="0.15">
      <c r="B498" s="33"/>
      <c r="E498" s="30"/>
    </row>
    <row r="499" spans="2:5" ht="12.75" customHeight="1" x14ac:dyDescent="0.15">
      <c r="B499" s="33"/>
      <c r="E499" s="30"/>
    </row>
    <row r="500" spans="2:5" ht="12.75" customHeight="1" x14ac:dyDescent="0.15">
      <c r="B500" s="33"/>
      <c r="E500" s="30"/>
    </row>
    <row r="501" spans="2:5" ht="12.75" customHeight="1" x14ac:dyDescent="0.15">
      <c r="B501" s="33"/>
      <c r="E501" s="30"/>
    </row>
    <row r="502" spans="2:5" ht="12.75" customHeight="1" x14ac:dyDescent="0.15">
      <c r="B502" s="33"/>
      <c r="E502" s="30"/>
    </row>
    <row r="503" spans="2:5" ht="12.75" customHeight="1" x14ac:dyDescent="0.15">
      <c r="B503" s="33"/>
      <c r="E503" s="30"/>
    </row>
    <row r="504" spans="2:5" ht="12.75" customHeight="1" x14ac:dyDescent="0.15">
      <c r="B504" s="33"/>
      <c r="E504" s="30"/>
    </row>
    <row r="505" spans="2:5" ht="12.75" customHeight="1" x14ac:dyDescent="0.15">
      <c r="B505" s="33"/>
      <c r="E505" s="30"/>
    </row>
    <row r="506" spans="2:5" ht="12.75" customHeight="1" x14ac:dyDescent="0.15">
      <c r="B506" s="33"/>
      <c r="E506" s="30"/>
    </row>
    <row r="507" spans="2:5" ht="12.75" customHeight="1" x14ac:dyDescent="0.15">
      <c r="B507" s="33"/>
      <c r="E507" s="30"/>
    </row>
    <row r="508" spans="2:5" ht="12.75" customHeight="1" x14ac:dyDescent="0.15">
      <c r="B508" s="33"/>
      <c r="E508" s="30"/>
    </row>
    <row r="509" spans="2:5" ht="12.75" customHeight="1" x14ac:dyDescent="0.15">
      <c r="B509" s="33"/>
      <c r="E509" s="30"/>
    </row>
    <row r="510" spans="2:5" ht="12.75" customHeight="1" x14ac:dyDescent="0.15">
      <c r="B510" s="33"/>
      <c r="E510" s="30"/>
    </row>
    <row r="511" spans="2:5" ht="12.75" customHeight="1" x14ac:dyDescent="0.15">
      <c r="B511" s="33"/>
      <c r="E511" s="30"/>
    </row>
    <row r="512" spans="2:5" ht="12.75" customHeight="1" x14ac:dyDescent="0.15">
      <c r="B512" s="33"/>
      <c r="E512" s="30"/>
    </row>
    <row r="513" spans="2:5" ht="12.75" customHeight="1" x14ac:dyDescent="0.15">
      <c r="B513" s="33"/>
      <c r="E513" s="30"/>
    </row>
    <row r="514" spans="2:5" ht="12.75" customHeight="1" x14ac:dyDescent="0.15">
      <c r="B514" s="33"/>
      <c r="E514" s="30"/>
    </row>
    <row r="515" spans="2:5" ht="12.75" customHeight="1" x14ac:dyDescent="0.15">
      <c r="B515" s="33"/>
      <c r="E515" s="30"/>
    </row>
    <row r="516" spans="2:5" ht="12.75" customHeight="1" x14ac:dyDescent="0.15">
      <c r="B516" s="33"/>
      <c r="E516" s="30"/>
    </row>
    <row r="517" spans="2:5" ht="12.75" customHeight="1" x14ac:dyDescent="0.15">
      <c r="B517" s="33"/>
      <c r="E517" s="30"/>
    </row>
    <row r="518" spans="2:5" ht="12.75" customHeight="1" x14ac:dyDescent="0.15">
      <c r="B518" s="33"/>
      <c r="E518" s="30"/>
    </row>
    <row r="519" spans="2:5" ht="12.75" customHeight="1" x14ac:dyDescent="0.15">
      <c r="B519" s="33"/>
      <c r="E519" s="30"/>
    </row>
    <row r="520" spans="2:5" ht="12.75" customHeight="1" x14ac:dyDescent="0.15">
      <c r="B520" s="33"/>
      <c r="E520" s="30"/>
    </row>
    <row r="521" spans="2:5" ht="12.75" customHeight="1" x14ac:dyDescent="0.15">
      <c r="B521" s="33"/>
      <c r="E521" s="30"/>
    </row>
    <row r="522" spans="2:5" ht="12.75" customHeight="1" x14ac:dyDescent="0.15">
      <c r="B522" s="33"/>
      <c r="E522" s="30"/>
    </row>
    <row r="523" spans="2:5" ht="12.75" customHeight="1" x14ac:dyDescent="0.15">
      <c r="B523" s="33"/>
      <c r="E523" s="30"/>
    </row>
    <row r="524" spans="2:5" ht="12.75" customHeight="1" x14ac:dyDescent="0.15">
      <c r="B524" s="33"/>
      <c r="E524" s="30"/>
    </row>
    <row r="525" spans="2:5" ht="12.75" customHeight="1" x14ac:dyDescent="0.15">
      <c r="B525" s="33"/>
      <c r="E525" s="30"/>
    </row>
    <row r="526" spans="2:5" ht="12.75" customHeight="1" x14ac:dyDescent="0.15">
      <c r="B526" s="33"/>
      <c r="E526" s="30"/>
    </row>
    <row r="527" spans="2:5" ht="12.75" customHeight="1" x14ac:dyDescent="0.15">
      <c r="B527" s="33"/>
      <c r="E527" s="30"/>
    </row>
    <row r="528" spans="2:5" ht="12.75" customHeight="1" x14ac:dyDescent="0.15">
      <c r="B528" s="33"/>
      <c r="E528" s="30"/>
    </row>
    <row r="529" spans="2:5" ht="12.75" customHeight="1" x14ac:dyDescent="0.15">
      <c r="B529" s="33"/>
      <c r="E529" s="30"/>
    </row>
    <row r="530" spans="2:5" ht="12.75" customHeight="1" x14ac:dyDescent="0.15">
      <c r="B530" s="33"/>
      <c r="E530" s="30"/>
    </row>
    <row r="531" spans="2:5" ht="12.75" customHeight="1" x14ac:dyDescent="0.15">
      <c r="B531" s="33"/>
      <c r="E531" s="30"/>
    </row>
    <row r="532" spans="2:5" ht="12.75" customHeight="1" x14ac:dyDescent="0.15">
      <c r="B532" s="33"/>
      <c r="E532" s="30"/>
    </row>
    <row r="533" spans="2:5" ht="12.75" customHeight="1" x14ac:dyDescent="0.15">
      <c r="B533" s="33"/>
      <c r="E533" s="30"/>
    </row>
    <row r="534" spans="2:5" ht="12.75" customHeight="1" x14ac:dyDescent="0.15">
      <c r="B534" s="33"/>
      <c r="E534" s="30"/>
    </row>
    <row r="535" spans="2:5" ht="12.75" customHeight="1" x14ac:dyDescent="0.15">
      <c r="B535" s="33"/>
      <c r="E535" s="30"/>
    </row>
    <row r="536" spans="2:5" ht="12.75" customHeight="1" x14ac:dyDescent="0.15">
      <c r="B536" s="33"/>
      <c r="E536" s="30"/>
    </row>
    <row r="537" spans="2:5" ht="12.75" customHeight="1" x14ac:dyDescent="0.15">
      <c r="B537" s="33"/>
      <c r="E537" s="30"/>
    </row>
    <row r="538" spans="2:5" ht="12.75" customHeight="1" x14ac:dyDescent="0.15">
      <c r="B538" s="33"/>
      <c r="E538" s="30"/>
    </row>
    <row r="539" spans="2:5" ht="12.75" customHeight="1" x14ac:dyDescent="0.15">
      <c r="B539" s="33"/>
      <c r="E539" s="30"/>
    </row>
    <row r="540" spans="2:5" ht="12.75" customHeight="1" x14ac:dyDescent="0.15">
      <c r="B540" s="33"/>
      <c r="E540" s="30"/>
    </row>
    <row r="541" spans="2:5" ht="12.75" customHeight="1" x14ac:dyDescent="0.15">
      <c r="B541" s="33"/>
      <c r="E541" s="30"/>
    </row>
    <row r="542" spans="2:5" ht="12.75" customHeight="1" x14ac:dyDescent="0.15">
      <c r="B542" s="33"/>
      <c r="E542" s="30"/>
    </row>
    <row r="543" spans="2:5" ht="12.75" customHeight="1" x14ac:dyDescent="0.15">
      <c r="B543" s="33"/>
      <c r="E543" s="30"/>
    </row>
    <row r="544" spans="2:5" ht="12.75" customHeight="1" x14ac:dyDescent="0.15">
      <c r="B544" s="33"/>
      <c r="E544" s="30"/>
    </row>
    <row r="545" spans="2:5" ht="12.75" customHeight="1" x14ac:dyDescent="0.15">
      <c r="B545" s="33"/>
      <c r="E545" s="30"/>
    </row>
    <row r="546" spans="2:5" ht="12.75" customHeight="1" x14ac:dyDescent="0.15">
      <c r="B546" s="33"/>
      <c r="E546" s="30"/>
    </row>
    <row r="547" spans="2:5" ht="12.75" customHeight="1" x14ac:dyDescent="0.15">
      <c r="B547" s="33"/>
      <c r="E547" s="30"/>
    </row>
    <row r="548" spans="2:5" ht="12.75" customHeight="1" x14ac:dyDescent="0.15">
      <c r="B548" s="33"/>
      <c r="E548" s="30"/>
    </row>
    <row r="549" spans="2:5" ht="12.75" customHeight="1" x14ac:dyDescent="0.15">
      <c r="B549" s="33"/>
      <c r="E549" s="30"/>
    </row>
    <row r="550" spans="2:5" ht="12.75" customHeight="1" x14ac:dyDescent="0.15">
      <c r="B550" s="33"/>
      <c r="E550" s="30"/>
    </row>
    <row r="551" spans="2:5" ht="12.75" customHeight="1" x14ac:dyDescent="0.15">
      <c r="B551" s="33"/>
      <c r="E551" s="30"/>
    </row>
    <row r="552" spans="2:5" ht="12.75" customHeight="1" x14ac:dyDescent="0.15">
      <c r="B552" s="33"/>
      <c r="E552" s="30"/>
    </row>
    <row r="553" spans="2:5" ht="12.75" customHeight="1" x14ac:dyDescent="0.15">
      <c r="B553" s="33"/>
      <c r="E553" s="30"/>
    </row>
    <row r="554" spans="2:5" ht="12.75" customHeight="1" x14ac:dyDescent="0.15">
      <c r="B554" s="33"/>
      <c r="E554" s="30"/>
    </row>
    <row r="555" spans="2:5" ht="12.75" customHeight="1" x14ac:dyDescent="0.15">
      <c r="B555" s="33"/>
      <c r="E555" s="30"/>
    </row>
    <row r="556" spans="2:5" ht="12.75" customHeight="1" x14ac:dyDescent="0.15">
      <c r="B556" s="33"/>
      <c r="E556" s="30"/>
    </row>
    <row r="557" spans="2:5" ht="12.75" customHeight="1" x14ac:dyDescent="0.15">
      <c r="B557" s="33"/>
      <c r="E557" s="30"/>
    </row>
    <row r="558" spans="2:5" ht="12.75" customHeight="1" x14ac:dyDescent="0.15">
      <c r="B558" s="33"/>
      <c r="E558" s="30"/>
    </row>
    <row r="559" spans="2:5" ht="12.75" customHeight="1" x14ac:dyDescent="0.15">
      <c r="B559" s="33"/>
      <c r="E559" s="30"/>
    </row>
    <row r="560" spans="2:5" ht="12.75" customHeight="1" x14ac:dyDescent="0.15">
      <c r="B560" s="33"/>
      <c r="E560" s="30"/>
    </row>
    <row r="561" spans="2:5" ht="12.75" customHeight="1" x14ac:dyDescent="0.15">
      <c r="B561" s="33"/>
      <c r="E561" s="30"/>
    </row>
    <row r="562" spans="2:5" ht="12.75" customHeight="1" x14ac:dyDescent="0.15">
      <c r="B562" s="33"/>
      <c r="E562" s="30"/>
    </row>
    <row r="563" spans="2:5" ht="12.75" customHeight="1" x14ac:dyDescent="0.15">
      <c r="B563" s="33"/>
      <c r="E563" s="30"/>
    </row>
    <row r="564" spans="2:5" ht="12.75" customHeight="1" x14ac:dyDescent="0.15">
      <c r="B564" s="33"/>
      <c r="E564" s="30"/>
    </row>
    <row r="565" spans="2:5" ht="12.75" customHeight="1" x14ac:dyDescent="0.15">
      <c r="B565" s="33"/>
      <c r="E565" s="30"/>
    </row>
    <row r="566" spans="2:5" ht="12.75" customHeight="1" x14ac:dyDescent="0.15">
      <c r="B566" s="33"/>
      <c r="E566" s="30"/>
    </row>
    <row r="567" spans="2:5" ht="12.75" customHeight="1" x14ac:dyDescent="0.15">
      <c r="B567" s="33"/>
      <c r="E567" s="30"/>
    </row>
    <row r="568" spans="2:5" ht="12.75" customHeight="1" x14ac:dyDescent="0.15">
      <c r="B568" s="33"/>
      <c r="E568" s="30"/>
    </row>
    <row r="569" spans="2:5" ht="12.75" customHeight="1" x14ac:dyDescent="0.15">
      <c r="B569" s="33"/>
      <c r="E569" s="30"/>
    </row>
    <row r="570" spans="2:5" ht="12.75" customHeight="1" x14ac:dyDescent="0.15">
      <c r="B570" s="33"/>
      <c r="E570" s="30"/>
    </row>
    <row r="571" spans="2:5" ht="12.75" customHeight="1" x14ac:dyDescent="0.15">
      <c r="B571" s="33"/>
      <c r="E571" s="30"/>
    </row>
    <row r="572" spans="2:5" ht="12.75" customHeight="1" x14ac:dyDescent="0.15">
      <c r="B572" s="33"/>
      <c r="E572" s="30"/>
    </row>
    <row r="573" spans="2:5" ht="12.75" customHeight="1" x14ac:dyDescent="0.15">
      <c r="B573" s="33"/>
      <c r="E573" s="30"/>
    </row>
    <row r="574" spans="2:5" ht="12.75" customHeight="1" x14ac:dyDescent="0.15">
      <c r="B574" s="33"/>
      <c r="E574" s="30"/>
    </row>
    <row r="575" spans="2:5" ht="12.75" customHeight="1" x14ac:dyDescent="0.15">
      <c r="B575" s="33"/>
      <c r="E575" s="30"/>
    </row>
    <row r="576" spans="2:5" ht="12.75" customHeight="1" x14ac:dyDescent="0.15">
      <c r="B576" s="33"/>
      <c r="E576" s="30"/>
    </row>
    <row r="577" spans="2:5" ht="12.75" customHeight="1" x14ac:dyDescent="0.15">
      <c r="B577" s="33"/>
      <c r="E577" s="30"/>
    </row>
    <row r="578" spans="2:5" ht="12.75" customHeight="1" x14ac:dyDescent="0.15">
      <c r="B578" s="33"/>
      <c r="E578" s="30"/>
    </row>
    <row r="579" spans="2:5" ht="12.75" customHeight="1" x14ac:dyDescent="0.15">
      <c r="B579" s="33"/>
      <c r="E579" s="30"/>
    </row>
    <row r="580" spans="2:5" ht="12.75" customHeight="1" x14ac:dyDescent="0.15">
      <c r="B580" s="33"/>
      <c r="E580" s="30"/>
    </row>
    <row r="581" spans="2:5" ht="12.75" customHeight="1" x14ac:dyDescent="0.15">
      <c r="B581" s="33"/>
      <c r="E581" s="30"/>
    </row>
    <row r="582" spans="2:5" ht="12.75" customHeight="1" x14ac:dyDescent="0.15">
      <c r="B582" s="33"/>
      <c r="E582" s="30"/>
    </row>
    <row r="583" spans="2:5" ht="12.75" customHeight="1" x14ac:dyDescent="0.15">
      <c r="B583" s="33"/>
      <c r="E583" s="30"/>
    </row>
    <row r="584" spans="2:5" ht="12.75" customHeight="1" x14ac:dyDescent="0.15">
      <c r="B584" s="33"/>
      <c r="E584" s="30"/>
    </row>
    <row r="585" spans="2:5" ht="12.75" customHeight="1" x14ac:dyDescent="0.15">
      <c r="B585" s="33"/>
      <c r="E585" s="30"/>
    </row>
    <row r="586" spans="2:5" ht="12.75" customHeight="1" x14ac:dyDescent="0.15">
      <c r="B586" s="33"/>
      <c r="E586" s="30"/>
    </row>
    <row r="587" spans="2:5" ht="12.75" customHeight="1" x14ac:dyDescent="0.15">
      <c r="B587" s="33"/>
      <c r="E587" s="30"/>
    </row>
    <row r="588" spans="2:5" ht="12.75" customHeight="1" x14ac:dyDescent="0.15">
      <c r="B588" s="33"/>
      <c r="E588" s="30"/>
    </row>
    <row r="589" spans="2:5" ht="12.75" customHeight="1" x14ac:dyDescent="0.15">
      <c r="B589" s="33"/>
      <c r="E589" s="30"/>
    </row>
    <row r="590" spans="2:5" ht="12.75" customHeight="1" x14ac:dyDescent="0.15">
      <c r="B590" s="33"/>
      <c r="E590" s="30"/>
    </row>
    <row r="591" spans="2:5" ht="12.75" customHeight="1" x14ac:dyDescent="0.15">
      <c r="B591" s="33"/>
      <c r="E591" s="30"/>
    </row>
    <row r="592" spans="2:5" ht="12.75" customHeight="1" x14ac:dyDescent="0.15">
      <c r="B592" s="33"/>
      <c r="E592" s="30"/>
    </row>
    <row r="593" spans="2:5" ht="12.75" customHeight="1" x14ac:dyDescent="0.15">
      <c r="B593" s="33"/>
      <c r="E593" s="30"/>
    </row>
    <row r="594" spans="2:5" ht="12.75" customHeight="1" x14ac:dyDescent="0.15">
      <c r="B594" s="33"/>
      <c r="E594" s="30"/>
    </row>
    <row r="595" spans="2:5" ht="12.75" customHeight="1" x14ac:dyDescent="0.15">
      <c r="B595" s="33"/>
      <c r="E595" s="30"/>
    </row>
    <row r="596" spans="2:5" ht="12.75" customHeight="1" x14ac:dyDescent="0.15">
      <c r="B596" s="33"/>
      <c r="E596" s="30"/>
    </row>
    <row r="597" spans="2:5" ht="12.75" customHeight="1" x14ac:dyDescent="0.15">
      <c r="B597" s="33"/>
      <c r="E597" s="30"/>
    </row>
    <row r="598" spans="2:5" ht="12.75" customHeight="1" x14ac:dyDescent="0.15">
      <c r="B598" s="33"/>
      <c r="E598" s="30"/>
    </row>
    <row r="599" spans="2:5" ht="12.75" customHeight="1" x14ac:dyDescent="0.15">
      <c r="B599" s="33"/>
      <c r="E599" s="30"/>
    </row>
    <row r="600" spans="2:5" ht="12.75" customHeight="1" x14ac:dyDescent="0.15">
      <c r="B600" s="33"/>
      <c r="E600" s="30"/>
    </row>
    <row r="601" spans="2:5" ht="12.75" customHeight="1" x14ac:dyDescent="0.15">
      <c r="B601" s="33"/>
      <c r="E601" s="30"/>
    </row>
    <row r="602" spans="2:5" ht="12.75" customHeight="1" x14ac:dyDescent="0.15">
      <c r="B602" s="33"/>
      <c r="E602" s="30"/>
    </row>
    <row r="603" spans="2:5" ht="12.75" customHeight="1" x14ac:dyDescent="0.15">
      <c r="B603" s="33"/>
      <c r="E603" s="30"/>
    </row>
    <row r="604" spans="2:5" ht="12.75" customHeight="1" x14ac:dyDescent="0.15">
      <c r="B604" s="33"/>
      <c r="E604" s="30"/>
    </row>
    <row r="605" spans="2:5" ht="12.75" customHeight="1" x14ac:dyDescent="0.15">
      <c r="B605" s="33"/>
      <c r="E605" s="30"/>
    </row>
    <row r="606" spans="2:5" ht="12.75" customHeight="1" x14ac:dyDescent="0.15">
      <c r="B606" s="33"/>
      <c r="E606" s="30"/>
    </row>
    <row r="607" spans="2:5" ht="12.75" customHeight="1" x14ac:dyDescent="0.15">
      <c r="B607" s="33"/>
      <c r="E607" s="30"/>
    </row>
    <row r="608" spans="2:5" ht="12.75" customHeight="1" x14ac:dyDescent="0.15">
      <c r="B608" s="33"/>
      <c r="E608" s="30"/>
    </row>
    <row r="609" spans="2:5" ht="12.75" customHeight="1" x14ac:dyDescent="0.15">
      <c r="B609" s="33"/>
      <c r="E609" s="30"/>
    </row>
    <row r="610" spans="2:5" ht="12.75" customHeight="1" x14ac:dyDescent="0.15">
      <c r="B610" s="33"/>
      <c r="E610" s="30"/>
    </row>
    <row r="611" spans="2:5" ht="12.75" customHeight="1" x14ac:dyDescent="0.15">
      <c r="B611" s="33"/>
      <c r="E611" s="30"/>
    </row>
    <row r="612" spans="2:5" ht="12.75" customHeight="1" x14ac:dyDescent="0.15">
      <c r="B612" s="33"/>
      <c r="E612" s="30"/>
    </row>
    <row r="613" spans="2:5" ht="12.75" customHeight="1" x14ac:dyDescent="0.15">
      <c r="B613" s="33"/>
      <c r="E613" s="30"/>
    </row>
    <row r="614" spans="2:5" ht="12.75" customHeight="1" x14ac:dyDescent="0.15">
      <c r="B614" s="33"/>
      <c r="E614" s="30"/>
    </row>
    <row r="615" spans="2:5" ht="12.75" customHeight="1" x14ac:dyDescent="0.15">
      <c r="B615" s="33"/>
      <c r="E615" s="30"/>
    </row>
    <row r="616" spans="2:5" ht="12.75" customHeight="1" x14ac:dyDescent="0.15">
      <c r="B616" s="33"/>
      <c r="E616" s="30"/>
    </row>
    <row r="617" spans="2:5" ht="12.75" customHeight="1" x14ac:dyDescent="0.15">
      <c r="B617" s="33"/>
      <c r="E617" s="30"/>
    </row>
    <row r="618" spans="2:5" ht="12.75" customHeight="1" x14ac:dyDescent="0.15">
      <c r="B618" s="33"/>
      <c r="E618" s="30"/>
    </row>
    <row r="619" spans="2:5" ht="12.75" customHeight="1" x14ac:dyDescent="0.15">
      <c r="B619" s="33"/>
      <c r="E619" s="30"/>
    </row>
    <row r="620" spans="2:5" ht="12.75" customHeight="1" x14ac:dyDescent="0.15">
      <c r="B620" s="33"/>
      <c r="E620" s="30"/>
    </row>
    <row r="621" spans="2:5" ht="12.75" customHeight="1" x14ac:dyDescent="0.15">
      <c r="B621" s="33"/>
      <c r="E621" s="30"/>
    </row>
    <row r="622" spans="2:5" ht="12.75" customHeight="1" x14ac:dyDescent="0.15">
      <c r="B622" s="33"/>
      <c r="E622" s="30"/>
    </row>
    <row r="623" spans="2:5" ht="12.75" customHeight="1" x14ac:dyDescent="0.15">
      <c r="B623" s="33"/>
      <c r="E623" s="30"/>
    </row>
    <row r="624" spans="2:5" ht="12.75" customHeight="1" x14ac:dyDescent="0.15">
      <c r="B624" s="33"/>
      <c r="E624" s="30"/>
    </row>
    <row r="625" spans="2:5" ht="12.75" customHeight="1" x14ac:dyDescent="0.15">
      <c r="B625" s="33"/>
      <c r="E625" s="30"/>
    </row>
    <row r="626" spans="2:5" ht="12.75" customHeight="1" x14ac:dyDescent="0.15">
      <c r="B626" s="33"/>
      <c r="E626" s="30"/>
    </row>
    <row r="627" spans="2:5" ht="12.75" customHeight="1" x14ac:dyDescent="0.15">
      <c r="B627" s="33"/>
      <c r="E627" s="30"/>
    </row>
    <row r="628" spans="2:5" ht="12.75" customHeight="1" x14ac:dyDescent="0.15">
      <c r="B628" s="33"/>
      <c r="E628" s="30"/>
    </row>
    <row r="629" spans="2:5" ht="12.75" customHeight="1" x14ac:dyDescent="0.15">
      <c r="B629" s="33"/>
      <c r="E629" s="30"/>
    </row>
    <row r="630" spans="2:5" ht="12.75" customHeight="1" x14ac:dyDescent="0.15">
      <c r="B630" s="33"/>
      <c r="E630" s="30"/>
    </row>
    <row r="631" spans="2:5" ht="12.75" customHeight="1" x14ac:dyDescent="0.15">
      <c r="B631" s="33"/>
      <c r="E631" s="30"/>
    </row>
    <row r="632" spans="2:5" ht="12.75" customHeight="1" x14ac:dyDescent="0.15">
      <c r="B632" s="33"/>
      <c r="E632" s="30"/>
    </row>
    <row r="633" spans="2:5" ht="12.75" customHeight="1" x14ac:dyDescent="0.15">
      <c r="B633" s="33"/>
      <c r="E633" s="30"/>
    </row>
    <row r="634" spans="2:5" ht="12.75" customHeight="1" x14ac:dyDescent="0.15">
      <c r="B634" s="33"/>
      <c r="E634" s="30"/>
    </row>
    <row r="635" spans="2:5" ht="12.75" customHeight="1" x14ac:dyDescent="0.15">
      <c r="B635" s="33"/>
      <c r="E635" s="30"/>
    </row>
    <row r="636" spans="2:5" ht="12.75" customHeight="1" x14ac:dyDescent="0.15">
      <c r="B636" s="33"/>
      <c r="E636" s="30"/>
    </row>
    <row r="637" spans="2:5" ht="12.75" customHeight="1" x14ac:dyDescent="0.15">
      <c r="B637" s="33"/>
      <c r="E637" s="30"/>
    </row>
    <row r="638" spans="2:5" ht="12.75" customHeight="1" x14ac:dyDescent="0.15">
      <c r="B638" s="33"/>
      <c r="E638" s="30"/>
    </row>
    <row r="639" spans="2:5" ht="12.75" customHeight="1" x14ac:dyDescent="0.15">
      <c r="B639" s="33"/>
      <c r="E639" s="30"/>
    </row>
    <row r="640" spans="2:5" ht="12.75" customHeight="1" x14ac:dyDescent="0.15">
      <c r="B640" s="33"/>
      <c r="E640" s="30"/>
    </row>
    <row r="641" spans="2:5" ht="12.75" customHeight="1" x14ac:dyDescent="0.15">
      <c r="B641" s="33"/>
      <c r="E641" s="30"/>
    </row>
    <row r="642" spans="2:5" ht="12.75" customHeight="1" x14ac:dyDescent="0.15">
      <c r="B642" s="33"/>
      <c r="E642" s="30"/>
    </row>
    <row r="643" spans="2:5" ht="12.75" customHeight="1" x14ac:dyDescent="0.15">
      <c r="B643" s="33"/>
      <c r="E643" s="30"/>
    </row>
    <row r="644" spans="2:5" ht="12.75" customHeight="1" x14ac:dyDescent="0.15">
      <c r="B644" s="33"/>
      <c r="E644" s="30"/>
    </row>
    <row r="645" spans="2:5" ht="12.75" customHeight="1" x14ac:dyDescent="0.15">
      <c r="B645" s="33"/>
      <c r="E645" s="30"/>
    </row>
    <row r="646" spans="2:5" ht="12.75" customHeight="1" x14ac:dyDescent="0.15">
      <c r="B646" s="33"/>
      <c r="E646" s="30"/>
    </row>
    <row r="647" spans="2:5" ht="12.75" customHeight="1" x14ac:dyDescent="0.15">
      <c r="B647" s="33"/>
      <c r="E647" s="30"/>
    </row>
    <row r="648" spans="2:5" ht="12.75" customHeight="1" x14ac:dyDescent="0.15">
      <c r="B648" s="33"/>
      <c r="E648" s="30"/>
    </row>
    <row r="649" spans="2:5" ht="12.75" customHeight="1" x14ac:dyDescent="0.15">
      <c r="B649" s="33"/>
      <c r="E649" s="30"/>
    </row>
    <row r="650" spans="2:5" ht="12.75" customHeight="1" x14ac:dyDescent="0.15">
      <c r="B650" s="33"/>
      <c r="E650" s="30"/>
    </row>
    <row r="651" spans="2:5" ht="12.75" customHeight="1" x14ac:dyDescent="0.15">
      <c r="B651" s="33"/>
      <c r="E651" s="30"/>
    </row>
    <row r="652" spans="2:5" ht="12.75" customHeight="1" x14ac:dyDescent="0.15">
      <c r="B652" s="33"/>
      <c r="E652" s="30"/>
    </row>
    <row r="653" spans="2:5" ht="12.75" customHeight="1" x14ac:dyDescent="0.15">
      <c r="B653" s="33"/>
      <c r="E653" s="30"/>
    </row>
    <row r="654" spans="2:5" ht="12.75" customHeight="1" x14ac:dyDescent="0.15">
      <c r="B654" s="33"/>
      <c r="E654" s="30"/>
    </row>
    <row r="655" spans="2:5" ht="12.75" customHeight="1" x14ac:dyDescent="0.15">
      <c r="B655" s="33"/>
      <c r="E655" s="30"/>
    </row>
    <row r="656" spans="2:5" ht="12.75" customHeight="1" x14ac:dyDescent="0.15">
      <c r="B656" s="33"/>
      <c r="E656" s="30"/>
    </row>
    <row r="657" spans="2:5" ht="12.75" customHeight="1" x14ac:dyDescent="0.15">
      <c r="B657" s="33"/>
      <c r="E657" s="30"/>
    </row>
    <row r="658" spans="2:5" ht="12.75" customHeight="1" x14ac:dyDescent="0.15">
      <c r="B658" s="33"/>
      <c r="E658" s="30"/>
    </row>
    <row r="659" spans="2:5" ht="12.75" customHeight="1" x14ac:dyDescent="0.15">
      <c r="B659" s="33"/>
      <c r="E659" s="30"/>
    </row>
    <row r="660" spans="2:5" ht="12.75" customHeight="1" x14ac:dyDescent="0.15">
      <c r="B660" s="33"/>
      <c r="E660" s="30"/>
    </row>
    <row r="661" spans="2:5" ht="12.75" customHeight="1" x14ac:dyDescent="0.15">
      <c r="B661" s="33"/>
      <c r="E661" s="30"/>
    </row>
    <row r="662" spans="2:5" ht="12.75" customHeight="1" x14ac:dyDescent="0.15">
      <c r="B662" s="33"/>
      <c r="E662" s="30"/>
    </row>
    <row r="663" spans="2:5" ht="12.75" customHeight="1" x14ac:dyDescent="0.15">
      <c r="B663" s="33"/>
      <c r="E663" s="30"/>
    </row>
    <row r="664" spans="2:5" ht="12.75" customHeight="1" x14ac:dyDescent="0.15">
      <c r="B664" s="33"/>
      <c r="E664" s="30"/>
    </row>
    <row r="665" spans="2:5" ht="12.75" customHeight="1" x14ac:dyDescent="0.15">
      <c r="B665" s="33"/>
      <c r="E665" s="30"/>
    </row>
    <row r="666" spans="2:5" ht="12.75" customHeight="1" x14ac:dyDescent="0.15">
      <c r="B666" s="33"/>
      <c r="E666" s="30"/>
    </row>
    <row r="667" spans="2:5" ht="12.75" customHeight="1" x14ac:dyDescent="0.15">
      <c r="B667" s="33"/>
      <c r="E667" s="30"/>
    </row>
    <row r="668" spans="2:5" ht="12.75" customHeight="1" x14ac:dyDescent="0.15">
      <c r="B668" s="33"/>
      <c r="E668" s="30"/>
    </row>
    <row r="669" spans="2:5" ht="12.75" customHeight="1" x14ac:dyDescent="0.15">
      <c r="B669" s="33"/>
      <c r="E669" s="30"/>
    </row>
    <row r="670" spans="2:5" ht="12.75" customHeight="1" x14ac:dyDescent="0.15">
      <c r="B670" s="33"/>
      <c r="E670" s="30"/>
    </row>
    <row r="671" spans="2:5" ht="12.75" customHeight="1" x14ac:dyDescent="0.15">
      <c r="B671" s="33"/>
      <c r="E671" s="30"/>
    </row>
    <row r="672" spans="2:5" ht="12.75" customHeight="1" x14ac:dyDescent="0.15">
      <c r="B672" s="33"/>
      <c r="E672" s="30"/>
    </row>
    <row r="673" spans="2:5" ht="12.75" customHeight="1" x14ac:dyDescent="0.15">
      <c r="B673" s="33"/>
      <c r="E673" s="30"/>
    </row>
    <row r="674" spans="2:5" ht="12.75" customHeight="1" x14ac:dyDescent="0.15">
      <c r="B674" s="33"/>
      <c r="E674" s="30"/>
    </row>
    <row r="675" spans="2:5" ht="12.75" customHeight="1" x14ac:dyDescent="0.15">
      <c r="B675" s="33"/>
      <c r="E675" s="30"/>
    </row>
    <row r="676" spans="2:5" ht="12.75" customHeight="1" x14ac:dyDescent="0.15">
      <c r="B676" s="33"/>
      <c r="E676" s="30"/>
    </row>
    <row r="677" spans="2:5" ht="12.75" customHeight="1" x14ac:dyDescent="0.15">
      <c r="B677" s="33"/>
      <c r="E677" s="30"/>
    </row>
    <row r="678" spans="2:5" ht="12.75" customHeight="1" x14ac:dyDescent="0.15">
      <c r="B678" s="33"/>
      <c r="E678" s="30"/>
    </row>
    <row r="679" spans="2:5" ht="12.75" customHeight="1" x14ac:dyDescent="0.15">
      <c r="B679" s="33"/>
      <c r="E679" s="30"/>
    </row>
    <row r="680" spans="2:5" ht="12.75" customHeight="1" x14ac:dyDescent="0.15">
      <c r="B680" s="33"/>
      <c r="E680" s="30"/>
    </row>
    <row r="681" spans="2:5" ht="12.75" customHeight="1" x14ac:dyDescent="0.15">
      <c r="B681" s="33"/>
      <c r="E681" s="30"/>
    </row>
    <row r="682" spans="2:5" ht="12.75" customHeight="1" x14ac:dyDescent="0.15">
      <c r="B682" s="33"/>
      <c r="E682" s="30"/>
    </row>
    <row r="683" spans="2:5" ht="12.75" customHeight="1" x14ac:dyDescent="0.15">
      <c r="B683" s="33"/>
      <c r="E683" s="30"/>
    </row>
    <row r="684" spans="2:5" ht="12.75" customHeight="1" x14ac:dyDescent="0.15">
      <c r="B684" s="33"/>
      <c r="E684" s="30"/>
    </row>
    <row r="685" spans="2:5" ht="12.75" customHeight="1" x14ac:dyDescent="0.15">
      <c r="B685" s="33"/>
      <c r="E685" s="30"/>
    </row>
    <row r="686" spans="2:5" ht="12.75" customHeight="1" x14ac:dyDescent="0.15">
      <c r="B686" s="33"/>
      <c r="E686" s="30"/>
    </row>
    <row r="687" spans="2:5" ht="12.75" customHeight="1" x14ac:dyDescent="0.15">
      <c r="B687" s="33"/>
      <c r="E687" s="30"/>
    </row>
    <row r="688" spans="2:5" ht="12.75" customHeight="1" x14ac:dyDescent="0.15">
      <c r="B688" s="33"/>
      <c r="E688" s="30"/>
    </row>
    <row r="689" spans="2:5" ht="12.75" customHeight="1" x14ac:dyDescent="0.15">
      <c r="B689" s="33"/>
      <c r="E689" s="30"/>
    </row>
    <row r="690" spans="2:5" ht="12.75" customHeight="1" x14ac:dyDescent="0.15">
      <c r="B690" s="33"/>
      <c r="E690" s="30"/>
    </row>
    <row r="691" spans="2:5" ht="12.75" customHeight="1" x14ac:dyDescent="0.15">
      <c r="B691" s="33"/>
      <c r="E691" s="30"/>
    </row>
    <row r="692" spans="2:5" ht="12.75" customHeight="1" x14ac:dyDescent="0.15">
      <c r="B692" s="33"/>
      <c r="E692" s="30"/>
    </row>
    <row r="693" spans="2:5" ht="12.75" customHeight="1" x14ac:dyDescent="0.15">
      <c r="B693" s="33"/>
      <c r="E693" s="30"/>
    </row>
    <row r="694" spans="2:5" ht="12.75" customHeight="1" x14ac:dyDescent="0.15">
      <c r="B694" s="33"/>
      <c r="E694" s="30"/>
    </row>
    <row r="695" spans="2:5" ht="12.75" customHeight="1" x14ac:dyDescent="0.15">
      <c r="B695" s="33"/>
      <c r="E695" s="30"/>
    </row>
    <row r="696" spans="2:5" ht="12.75" customHeight="1" x14ac:dyDescent="0.15">
      <c r="B696" s="33"/>
      <c r="E696" s="30"/>
    </row>
    <row r="697" spans="2:5" ht="12.75" customHeight="1" x14ac:dyDescent="0.15">
      <c r="B697" s="33"/>
      <c r="E697" s="30"/>
    </row>
    <row r="698" spans="2:5" ht="12.75" customHeight="1" x14ac:dyDescent="0.15">
      <c r="B698" s="33"/>
      <c r="E698" s="30"/>
    </row>
    <row r="699" spans="2:5" ht="12.75" customHeight="1" x14ac:dyDescent="0.15">
      <c r="B699" s="33"/>
      <c r="E699" s="30"/>
    </row>
    <row r="700" spans="2:5" ht="12.75" customHeight="1" x14ac:dyDescent="0.15">
      <c r="B700" s="33"/>
      <c r="E700" s="30"/>
    </row>
    <row r="701" spans="2:5" ht="12.75" customHeight="1" x14ac:dyDescent="0.15">
      <c r="B701" s="33"/>
      <c r="E701" s="30"/>
    </row>
    <row r="702" spans="2:5" ht="12.75" customHeight="1" x14ac:dyDescent="0.15">
      <c r="B702" s="33"/>
      <c r="E702" s="30"/>
    </row>
    <row r="703" spans="2:5" ht="12.75" customHeight="1" x14ac:dyDescent="0.15">
      <c r="B703" s="33"/>
      <c r="E703" s="30"/>
    </row>
    <row r="704" spans="2:5" ht="12.75" customHeight="1" x14ac:dyDescent="0.15">
      <c r="B704" s="33"/>
      <c r="E704" s="30"/>
    </row>
    <row r="705" spans="2:5" ht="12.75" customHeight="1" x14ac:dyDescent="0.15">
      <c r="B705" s="33"/>
      <c r="E705" s="30"/>
    </row>
    <row r="706" spans="2:5" ht="12.75" customHeight="1" x14ac:dyDescent="0.15">
      <c r="B706" s="33"/>
      <c r="E706" s="30"/>
    </row>
    <row r="707" spans="2:5" ht="12.75" customHeight="1" x14ac:dyDescent="0.15">
      <c r="B707" s="33"/>
      <c r="E707" s="30"/>
    </row>
    <row r="708" spans="2:5" ht="12.75" customHeight="1" x14ac:dyDescent="0.15">
      <c r="B708" s="33"/>
      <c r="E708" s="30"/>
    </row>
    <row r="709" spans="2:5" ht="12.75" customHeight="1" x14ac:dyDescent="0.15">
      <c r="B709" s="33"/>
      <c r="E709" s="30"/>
    </row>
    <row r="710" spans="2:5" ht="12.75" customHeight="1" x14ac:dyDescent="0.15">
      <c r="B710" s="33"/>
      <c r="E710" s="30"/>
    </row>
    <row r="711" spans="2:5" ht="12.75" customHeight="1" x14ac:dyDescent="0.15">
      <c r="B711" s="33"/>
      <c r="E711" s="30"/>
    </row>
    <row r="712" spans="2:5" ht="12.75" customHeight="1" x14ac:dyDescent="0.15">
      <c r="B712" s="33"/>
      <c r="E712" s="30"/>
    </row>
    <row r="713" spans="2:5" ht="12.75" customHeight="1" x14ac:dyDescent="0.15">
      <c r="B713" s="33"/>
      <c r="E713" s="30"/>
    </row>
    <row r="714" spans="2:5" ht="12.75" customHeight="1" x14ac:dyDescent="0.15">
      <c r="B714" s="33"/>
      <c r="E714" s="30"/>
    </row>
    <row r="715" spans="2:5" ht="12.75" customHeight="1" x14ac:dyDescent="0.15">
      <c r="B715" s="33"/>
      <c r="E715" s="30"/>
    </row>
    <row r="716" spans="2:5" ht="12.75" customHeight="1" x14ac:dyDescent="0.15">
      <c r="B716" s="33"/>
      <c r="E716" s="30"/>
    </row>
    <row r="717" spans="2:5" ht="12.75" customHeight="1" x14ac:dyDescent="0.15">
      <c r="B717" s="33"/>
      <c r="E717" s="30"/>
    </row>
    <row r="718" spans="2:5" ht="12.75" customHeight="1" x14ac:dyDescent="0.15">
      <c r="B718" s="33"/>
      <c r="E718" s="30"/>
    </row>
    <row r="719" spans="2:5" ht="12.75" customHeight="1" x14ac:dyDescent="0.15">
      <c r="B719" s="33"/>
      <c r="E719" s="30"/>
    </row>
    <row r="720" spans="2:5" ht="12.75" customHeight="1" x14ac:dyDescent="0.15">
      <c r="B720" s="33"/>
      <c r="E720" s="30"/>
    </row>
    <row r="721" spans="2:5" ht="12.75" customHeight="1" x14ac:dyDescent="0.15">
      <c r="B721" s="33"/>
      <c r="E721" s="30"/>
    </row>
    <row r="722" spans="2:5" ht="12.75" customHeight="1" x14ac:dyDescent="0.15">
      <c r="B722" s="33"/>
      <c r="E722" s="30"/>
    </row>
    <row r="723" spans="2:5" ht="12.75" customHeight="1" x14ac:dyDescent="0.15">
      <c r="B723" s="33"/>
      <c r="E723" s="30"/>
    </row>
    <row r="724" spans="2:5" ht="12.75" customHeight="1" x14ac:dyDescent="0.15">
      <c r="B724" s="33"/>
      <c r="E724" s="30"/>
    </row>
    <row r="725" spans="2:5" ht="12.75" customHeight="1" x14ac:dyDescent="0.15">
      <c r="B725" s="33"/>
      <c r="E725" s="30"/>
    </row>
    <row r="726" spans="2:5" ht="12.75" customHeight="1" x14ac:dyDescent="0.15">
      <c r="B726" s="33"/>
      <c r="E726" s="30"/>
    </row>
    <row r="727" spans="2:5" ht="12.75" customHeight="1" x14ac:dyDescent="0.15">
      <c r="B727" s="33"/>
      <c r="E727" s="30"/>
    </row>
    <row r="728" spans="2:5" ht="12.75" customHeight="1" x14ac:dyDescent="0.15">
      <c r="B728" s="33"/>
      <c r="E728" s="30"/>
    </row>
    <row r="729" spans="2:5" ht="12.75" customHeight="1" x14ac:dyDescent="0.15">
      <c r="B729" s="33"/>
      <c r="E729" s="30"/>
    </row>
    <row r="730" spans="2:5" ht="12.75" customHeight="1" x14ac:dyDescent="0.15">
      <c r="B730" s="33"/>
      <c r="E730" s="30"/>
    </row>
    <row r="731" spans="2:5" ht="12.75" customHeight="1" x14ac:dyDescent="0.15">
      <c r="B731" s="33"/>
      <c r="E731" s="30"/>
    </row>
    <row r="732" spans="2:5" ht="12.75" customHeight="1" x14ac:dyDescent="0.15">
      <c r="B732" s="33"/>
      <c r="E732" s="30"/>
    </row>
    <row r="733" spans="2:5" ht="12.75" customHeight="1" x14ac:dyDescent="0.15">
      <c r="B733" s="33"/>
      <c r="E733" s="30"/>
    </row>
    <row r="734" spans="2:5" ht="12.75" customHeight="1" x14ac:dyDescent="0.15">
      <c r="B734" s="33"/>
      <c r="E734" s="30"/>
    </row>
    <row r="735" spans="2:5" ht="12.75" customHeight="1" x14ac:dyDescent="0.15">
      <c r="B735" s="33"/>
      <c r="E735" s="30"/>
    </row>
    <row r="736" spans="2:5" ht="12.75" customHeight="1" x14ac:dyDescent="0.15">
      <c r="B736" s="33"/>
      <c r="E736" s="30"/>
    </row>
    <row r="737" spans="2:5" ht="12.75" customHeight="1" x14ac:dyDescent="0.15">
      <c r="B737" s="33"/>
      <c r="E737" s="30"/>
    </row>
    <row r="738" spans="2:5" ht="12.75" customHeight="1" x14ac:dyDescent="0.15">
      <c r="B738" s="33"/>
      <c r="E738" s="30"/>
    </row>
    <row r="739" spans="2:5" ht="12.75" customHeight="1" x14ac:dyDescent="0.15">
      <c r="B739" s="33"/>
      <c r="E739" s="30"/>
    </row>
    <row r="740" spans="2:5" ht="12.75" customHeight="1" x14ac:dyDescent="0.15">
      <c r="B740" s="33"/>
      <c r="E740" s="30"/>
    </row>
    <row r="741" spans="2:5" ht="12.75" customHeight="1" x14ac:dyDescent="0.15">
      <c r="B741" s="33"/>
      <c r="E741" s="30"/>
    </row>
    <row r="742" spans="2:5" ht="12.75" customHeight="1" x14ac:dyDescent="0.15">
      <c r="B742" s="33"/>
      <c r="E742" s="30"/>
    </row>
    <row r="743" spans="2:5" ht="12.75" customHeight="1" x14ac:dyDescent="0.15">
      <c r="B743" s="33"/>
      <c r="E743" s="30"/>
    </row>
    <row r="744" spans="2:5" ht="12.75" customHeight="1" x14ac:dyDescent="0.15">
      <c r="B744" s="33"/>
      <c r="E744" s="30"/>
    </row>
    <row r="745" spans="2:5" ht="12.75" customHeight="1" x14ac:dyDescent="0.15">
      <c r="B745" s="33"/>
      <c r="E745" s="30"/>
    </row>
    <row r="746" spans="2:5" ht="12.75" customHeight="1" x14ac:dyDescent="0.15">
      <c r="B746" s="33"/>
      <c r="E746" s="30"/>
    </row>
    <row r="747" spans="2:5" ht="12.75" customHeight="1" x14ac:dyDescent="0.15">
      <c r="B747" s="33"/>
      <c r="E747" s="30"/>
    </row>
    <row r="748" spans="2:5" ht="12.75" customHeight="1" x14ac:dyDescent="0.15">
      <c r="B748" s="33"/>
      <c r="E748" s="30"/>
    </row>
    <row r="749" spans="2:5" ht="12.75" customHeight="1" x14ac:dyDescent="0.15">
      <c r="B749" s="33"/>
      <c r="E749" s="30"/>
    </row>
    <row r="750" spans="2:5" ht="12.75" customHeight="1" x14ac:dyDescent="0.15">
      <c r="B750" s="33"/>
      <c r="E750" s="30"/>
    </row>
    <row r="751" spans="2:5" ht="12.75" customHeight="1" x14ac:dyDescent="0.15">
      <c r="B751" s="33"/>
      <c r="E751" s="30"/>
    </row>
    <row r="752" spans="2:5" ht="12.75" customHeight="1" x14ac:dyDescent="0.15">
      <c r="B752" s="33"/>
      <c r="E752" s="30"/>
    </row>
    <row r="753" spans="2:5" ht="12.75" customHeight="1" x14ac:dyDescent="0.15">
      <c r="B753" s="33"/>
      <c r="E753" s="30"/>
    </row>
    <row r="754" spans="2:5" ht="12.75" customHeight="1" x14ac:dyDescent="0.15">
      <c r="B754" s="33"/>
      <c r="E754" s="30"/>
    </row>
    <row r="755" spans="2:5" ht="12.75" customHeight="1" x14ac:dyDescent="0.15">
      <c r="B755" s="33"/>
      <c r="E755" s="30"/>
    </row>
    <row r="756" spans="2:5" ht="12.75" customHeight="1" x14ac:dyDescent="0.15">
      <c r="B756" s="33"/>
      <c r="E756" s="30"/>
    </row>
    <row r="757" spans="2:5" ht="12.75" customHeight="1" x14ac:dyDescent="0.15">
      <c r="B757" s="33"/>
      <c r="E757" s="30"/>
    </row>
    <row r="758" spans="2:5" ht="12.75" customHeight="1" x14ac:dyDescent="0.15">
      <c r="B758" s="33"/>
      <c r="E758" s="30"/>
    </row>
    <row r="759" spans="2:5" ht="12.75" customHeight="1" x14ac:dyDescent="0.15">
      <c r="B759" s="33"/>
      <c r="E759" s="30"/>
    </row>
    <row r="760" spans="2:5" ht="12.75" customHeight="1" x14ac:dyDescent="0.15">
      <c r="B760" s="33"/>
      <c r="E760" s="30"/>
    </row>
    <row r="761" spans="2:5" ht="12.75" customHeight="1" x14ac:dyDescent="0.15">
      <c r="B761" s="33"/>
      <c r="E761" s="30"/>
    </row>
    <row r="762" spans="2:5" ht="12.75" customHeight="1" x14ac:dyDescent="0.15">
      <c r="B762" s="33"/>
      <c r="E762" s="30"/>
    </row>
    <row r="763" spans="2:5" ht="12.75" customHeight="1" x14ac:dyDescent="0.15">
      <c r="B763" s="33"/>
      <c r="E763" s="30"/>
    </row>
    <row r="764" spans="2:5" ht="12.75" customHeight="1" x14ac:dyDescent="0.15">
      <c r="B764" s="33"/>
      <c r="E764" s="30"/>
    </row>
    <row r="765" spans="2:5" ht="12.75" customHeight="1" x14ac:dyDescent="0.15">
      <c r="B765" s="33"/>
      <c r="E765" s="30"/>
    </row>
    <row r="766" spans="2:5" ht="12.75" customHeight="1" x14ac:dyDescent="0.15">
      <c r="B766" s="33"/>
      <c r="E766" s="30"/>
    </row>
    <row r="767" spans="2:5" ht="12.75" customHeight="1" x14ac:dyDescent="0.15">
      <c r="B767" s="33"/>
      <c r="E767" s="30"/>
    </row>
    <row r="768" spans="2:5" ht="12.75" customHeight="1" x14ac:dyDescent="0.15">
      <c r="B768" s="33"/>
      <c r="E768" s="30"/>
    </row>
    <row r="769" spans="2:5" ht="12.75" customHeight="1" x14ac:dyDescent="0.15">
      <c r="B769" s="33"/>
      <c r="E769" s="30"/>
    </row>
    <row r="770" spans="2:5" ht="12.75" customHeight="1" x14ac:dyDescent="0.15">
      <c r="B770" s="33"/>
      <c r="E770" s="30"/>
    </row>
    <row r="771" spans="2:5" ht="12.75" customHeight="1" x14ac:dyDescent="0.15">
      <c r="B771" s="33"/>
      <c r="E771" s="30"/>
    </row>
    <row r="772" spans="2:5" ht="12.75" customHeight="1" x14ac:dyDescent="0.15">
      <c r="B772" s="33"/>
      <c r="E772" s="30"/>
    </row>
    <row r="773" spans="2:5" ht="12.75" customHeight="1" x14ac:dyDescent="0.15">
      <c r="B773" s="33"/>
      <c r="E773" s="30"/>
    </row>
    <row r="774" spans="2:5" ht="12.75" customHeight="1" x14ac:dyDescent="0.15">
      <c r="B774" s="33"/>
      <c r="E774" s="30"/>
    </row>
    <row r="775" spans="2:5" ht="12.75" customHeight="1" x14ac:dyDescent="0.15">
      <c r="B775" s="33"/>
      <c r="E775" s="30"/>
    </row>
    <row r="776" spans="2:5" ht="12.75" customHeight="1" x14ac:dyDescent="0.15">
      <c r="B776" s="33"/>
      <c r="E776" s="30"/>
    </row>
    <row r="777" spans="2:5" ht="12.75" customHeight="1" x14ac:dyDescent="0.15">
      <c r="B777" s="33"/>
      <c r="E777" s="30"/>
    </row>
    <row r="778" spans="2:5" ht="12.75" customHeight="1" x14ac:dyDescent="0.15">
      <c r="B778" s="33"/>
      <c r="E778" s="30"/>
    </row>
    <row r="779" spans="2:5" ht="12.75" customHeight="1" x14ac:dyDescent="0.15">
      <c r="B779" s="33"/>
      <c r="E779" s="30"/>
    </row>
    <row r="780" spans="2:5" ht="12.75" customHeight="1" x14ac:dyDescent="0.15">
      <c r="B780" s="33"/>
      <c r="E780" s="30"/>
    </row>
    <row r="781" spans="2:5" ht="12.75" customHeight="1" x14ac:dyDescent="0.15">
      <c r="B781" s="33"/>
      <c r="E781" s="30"/>
    </row>
    <row r="782" spans="2:5" ht="12.75" customHeight="1" x14ac:dyDescent="0.15">
      <c r="B782" s="33"/>
      <c r="E782" s="30"/>
    </row>
    <row r="783" spans="2:5" ht="12.75" customHeight="1" x14ac:dyDescent="0.15">
      <c r="B783" s="33"/>
      <c r="E783" s="30"/>
    </row>
    <row r="784" spans="2:5" ht="12.75" customHeight="1" x14ac:dyDescent="0.15">
      <c r="B784" s="33"/>
      <c r="E784" s="30"/>
    </row>
    <row r="785" spans="2:5" ht="12.75" customHeight="1" x14ac:dyDescent="0.15">
      <c r="B785" s="33"/>
      <c r="E785" s="30"/>
    </row>
    <row r="786" spans="2:5" ht="12.75" customHeight="1" x14ac:dyDescent="0.15">
      <c r="B786" s="33"/>
      <c r="E786" s="30"/>
    </row>
    <row r="787" spans="2:5" ht="12.75" customHeight="1" x14ac:dyDescent="0.15">
      <c r="B787" s="33"/>
      <c r="E787" s="30"/>
    </row>
    <row r="788" spans="2:5" ht="12.75" customHeight="1" x14ac:dyDescent="0.15">
      <c r="B788" s="33"/>
      <c r="E788" s="30"/>
    </row>
    <row r="789" spans="2:5" ht="12.75" customHeight="1" x14ac:dyDescent="0.15">
      <c r="B789" s="33"/>
      <c r="E789" s="30"/>
    </row>
    <row r="790" spans="2:5" ht="12.75" customHeight="1" x14ac:dyDescent="0.15">
      <c r="B790" s="33"/>
      <c r="E790" s="30"/>
    </row>
    <row r="791" spans="2:5" ht="12.75" customHeight="1" x14ac:dyDescent="0.15">
      <c r="B791" s="33"/>
      <c r="E791" s="30"/>
    </row>
    <row r="792" spans="2:5" ht="12.75" customHeight="1" x14ac:dyDescent="0.15">
      <c r="B792" s="33"/>
      <c r="E792" s="30"/>
    </row>
    <row r="793" spans="2:5" ht="12.75" customHeight="1" x14ac:dyDescent="0.15">
      <c r="B793" s="33"/>
      <c r="E793" s="30"/>
    </row>
    <row r="794" spans="2:5" ht="12.75" customHeight="1" x14ac:dyDescent="0.15">
      <c r="B794" s="33"/>
      <c r="E794" s="30"/>
    </row>
    <row r="795" spans="2:5" ht="12.75" customHeight="1" x14ac:dyDescent="0.15">
      <c r="B795" s="33"/>
      <c r="E795" s="30"/>
    </row>
    <row r="796" spans="2:5" ht="12.75" customHeight="1" x14ac:dyDescent="0.15">
      <c r="B796" s="33"/>
      <c r="E796" s="30"/>
    </row>
    <row r="797" spans="2:5" ht="12.75" customHeight="1" x14ac:dyDescent="0.15">
      <c r="B797" s="33"/>
      <c r="E797" s="30"/>
    </row>
    <row r="798" spans="2:5" ht="12.75" customHeight="1" x14ac:dyDescent="0.15">
      <c r="B798" s="33"/>
      <c r="E798" s="30"/>
    </row>
    <row r="799" spans="2:5" ht="12.75" customHeight="1" x14ac:dyDescent="0.15">
      <c r="B799" s="33"/>
      <c r="E799" s="30"/>
    </row>
    <row r="800" spans="2:5" ht="12.75" customHeight="1" x14ac:dyDescent="0.15">
      <c r="B800" s="33"/>
      <c r="E800" s="30"/>
    </row>
    <row r="801" spans="2:5" ht="12.75" customHeight="1" x14ac:dyDescent="0.15">
      <c r="B801" s="33"/>
      <c r="E801" s="30"/>
    </row>
    <row r="802" spans="2:5" ht="12.75" customHeight="1" x14ac:dyDescent="0.15">
      <c r="B802" s="33"/>
      <c r="E802" s="30"/>
    </row>
    <row r="803" spans="2:5" ht="12.75" customHeight="1" x14ac:dyDescent="0.15">
      <c r="B803" s="33"/>
      <c r="E803" s="30"/>
    </row>
    <row r="804" spans="2:5" ht="12.75" customHeight="1" x14ac:dyDescent="0.15">
      <c r="B804" s="33"/>
      <c r="E804" s="30"/>
    </row>
    <row r="805" spans="2:5" ht="12.75" customHeight="1" x14ac:dyDescent="0.15">
      <c r="B805" s="33"/>
      <c r="E805" s="30"/>
    </row>
    <row r="806" spans="2:5" ht="12.75" customHeight="1" x14ac:dyDescent="0.15">
      <c r="B806" s="33"/>
      <c r="E806" s="30"/>
    </row>
    <row r="807" spans="2:5" ht="12.75" customHeight="1" x14ac:dyDescent="0.15">
      <c r="B807" s="33"/>
      <c r="E807" s="30"/>
    </row>
    <row r="808" spans="2:5" ht="12.75" customHeight="1" x14ac:dyDescent="0.15">
      <c r="B808" s="33"/>
      <c r="E808" s="30"/>
    </row>
    <row r="809" spans="2:5" ht="12.75" customHeight="1" x14ac:dyDescent="0.15">
      <c r="B809" s="33"/>
      <c r="E809" s="30"/>
    </row>
    <row r="810" spans="2:5" ht="12.75" customHeight="1" x14ac:dyDescent="0.15">
      <c r="B810" s="33"/>
      <c r="E810" s="30"/>
    </row>
    <row r="811" spans="2:5" ht="12.75" customHeight="1" x14ac:dyDescent="0.15">
      <c r="B811" s="33"/>
      <c r="E811" s="30"/>
    </row>
    <row r="812" spans="2:5" ht="12.75" customHeight="1" x14ac:dyDescent="0.15">
      <c r="B812" s="33"/>
      <c r="E812" s="30"/>
    </row>
    <row r="813" spans="2:5" ht="12.75" customHeight="1" x14ac:dyDescent="0.15">
      <c r="B813" s="33"/>
      <c r="E813" s="30"/>
    </row>
    <row r="814" spans="2:5" ht="12.75" customHeight="1" x14ac:dyDescent="0.15">
      <c r="B814" s="33"/>
      <c r="E814" s="30"/>
    </row>
    <row r="815" spans="2:5" ht="12.75" customHeight="1" x14ac:dyDescent="0.15">
      <c r="B815" s="33"/>
      <c r="E815" s="30"/>
    </row>
    <row r="816" spans="2:5" ht="12.75" customHeight="1" x14ac:dyDescent="0.15">
      <c r="B816" s="33"/>
      <c r="E816" s="30"/>
    </row>
    <row r="817" spans="2:5" ht="12.75" customHeight="1" x14ac:dyDescent="0.15">
      <c r="B817" s="33"/>
      <c r="E817" s="30"/>
    </row>
    <row r="818" spans="2:5" ht="12.75" customHeight="1" x14ac:dyDescent="0.15">
      <c r="B818" s="33"/>
      <c r="E818" s="30"/>
    </row>
    <row r="819" spans="2:5" ht="12.75" customHeight="1" x14ac:dyDescent="0.15">
      <c r="B819" s="33"/>
      <c r="E819" s="30"/>
    </row>
    <row r="820" spans="2:5" ht="12.75" customHeight="1" x14ac:dyDescent="0.15">
      <c r="B820" s="33"/>
      <c r="E820" s="30"/>
    </row>
    <row r="821" spans="2:5" ht="12.75" customHeight="1" x14ac:dyDescent="0.15">
      <c r="B821" s="33"/>
      <c r="E821" s="30"/>
    </row>
    <row r="822" spans="2:5" ht="12.75" customHeight="1" x14ac:dyDescent="0.15">
      <c r="B822" s="33"/>
      <c r="E822" s="30"/>
    </row>
    <row r="823" spans="2:5" ht="12.75" customHeight="1" x14ac:dyDescent="0.15">
      <c r="B823" s="33"/>
      <c r="E823" s="30"/>
    </row>
    <row r="824" spans="2:5" ht="12.75" customHeight="1" x14ac:dyDescent="0.15">
      <c r="B824" s="33"/>
      <c r="E824" s="30"/>
    </row>
    <row r="825" spans="2:5" ht="12.75" customHeight="1" x14ac:dyDescent="0.15">
      <c r="B825" s="33"/>
      <c r="E825" s="30"/>
    </row>
    <row r="826" spans="2:5" ht="12.75" customHeight="1" x14ac:dyDescent="0.15">
      <c r="B826" s="33"/>
      <c r="E826" s="30"/>
    </row>
    <row r="827" spans="2:5" ht="12.75" customHeight="1" x14ac:dyDescent="0.15">
      <c r="B827" s="33"/>
      <c r="E827" s="30"/>
    </row>
    <row r="828" spans="2:5" ht="12.75" customHeight="1" x14ac:dyDescent="0.15">
      <c r="B828" s="33"/>
      <c r="E828" s="30"/>
    </row>
    <row r="829" spans="2:5" ht="12.75" customHeight="1" x14ac:dyDescent="0.15">
      <c r="B829" s="33"/>
      <c r="E829" s="30"/>
    </row>
    <row r="830" spans="2:5" ht="12.75" customHeight="1" x14ac:dyDescent="0.15">
      <c r="B830" s="33"/>
      <c r="E830" s="30"/>
    </row>
    <row r="831" spans="2:5" ht="12.75" customHeight="1" x14ac:dyDescent="0.15">
      <c r="B831" s="33"/>
      <c r="E831" s="30"/>
    </row>
    <row r="832" spans="2:5" ht="12.75" customHeight="1" x14ac:dyDescent="0.15">
      <c r="B832" s="33"/>
      <c r="E832" s="30"/>
    </row>
    <row r="833" spans="2:5" ht="12.75" customHeight="1" x14ac:dyDescent="0.15">
      <c r="B833" s="33"/>
      <c r="E833" s="30"/>
    </row>
    <row r="834" spans="2:5" ht="12.75" customHeight="1" x14ac:dyDescent="0.15">
      <c r="B834" s="33"/>
      <c r="E834" s="30"/>
    </row>
    <row r="835" spans="2:5" ht="12.75" customHeight="1" x14ac:dyDescent="0.15">
      <c r="B835" s="33"/>
      <c r="E835" s="30"/>
    </row>
    <row r="836" spans="2:5" ht="12.75" customHeight="1" x14ac:dyDescent="0.15">
      <c r="B836" s="33"/>
      <c r="E836" s="30"/>
    </row>
    <row r="837" spans="2:5" ht="12.75" customHeight="1" x14ac:dyDescent="0.15">
      <c r="B837" s="33"/>
      <c r="E837" s="30"/>
    </row>
    <row r="838" spans="2:5" ht="12.75" customHeight="1" x14ac:dyDescent="0.15">
      <c r="B838" s="33"/>
      <c r="E838" s="30"/>
    </row>
    <row r="839" spans="2:5" ht="12.75" customHeight="1" x14ac:dyDescent="0.15">
      <c r="B839" s="33"/>
      <c r="E839" s="30"/>
    </row>
    <row r="840" spans="2:5" ht="12.75" customHeight="1" x14ac:dyDescent="0.15">
      <c r="B840" s="33"/>
      <c r="E840" s="30"/>
    </row>
    <row r="841" spans="2:5" ht="12.75" customHeight="1" x14ac:dyDescent="0.15">
      <c r="B841" s="33"/>
      <c r="E841" s="30"/>
    </row>
    <row r="842" spans="2:5" ht="12.75" customHeight="1" x14ac:dyDescent="0.15">
      <c r="B842" s="33"/>
      <c r="E842" s="30"/>
    </row>
    <row r="843" spans="2:5" ht="12.75" customHeight="1" x14ac:dyDescent="0.15">
      <c r="B843" s="33"/>
      <c r="E843" s="30"/>
    </row>
    <row r="844" spans="2:5" ht="12.75" customHeight="1" x14ac:dyDescent="0.15">
      <c r="B844" s="33"/>
      <c r="E844" s="30"/>
    </row>
    <row r="845" spans="2:5" ht="12.75" customHeight="1" x14ac:dyDescent="0.15">
      <c r="B845" s="33"/>
      <c r="E845" s="30"/>
    </row>
    <row r="846" spans="2:5" ht="12.75" customHeight="1" x14ac:dyDescent="0.15">
      <c r="B846" s="33"/>
      <c r="E846" s="30"/>
    </row>
    <row r="847" spans="2:5" ht="12.75" customHeight="1" x14ac:dyDescent="0.15">
      <c r="B847" s="33"/>
      <c r="E847" s="30"/>
    </row>
    <row r="848" spans="2:5" ht="12.75" customHeight="1" x14ac:dyDescent="0.15">
      <c r="B848" s="33"/>
      <c r="E848" s="30"/>
    </row>
    <row r="849" spans="2:5" ht="12.75" customHeight="1" x14ac:dyDescent="0.15">
      <c r="B849" s="33"/>
      <c r="E849" s="30"/>
    </row>
    <row r="850" spans="2:5" ht="12.75" customHeight="1" x14ac:dyDescent="0.15">
      <c r="B850" s="33"/>
      <c r="E850" s="30"/>
    </row>
    <row r="851" spans="2:5" ht="12.75" customHeight="1" x14ac:dyDescent="0.15">
      <c r="B851" s="33"/>
      <c r="E851" s="30"/>
    </row>
    <row r="852" spans="2:5" ht="12.75" customHeight="1" x14ac:dyDescent="0.15">
      <c r="B852" s="33"/>
      <c r="E852" s="30"/>
    </row>
    <row r="853" spans="2:5" ht="12.75" customHeight="1" x14ac:dyDescent="0.15">
      <c r="B853" s="33"/>
      <c r="E853" s="30"/>
    </row>
    <row r="854" spans="2:5" ht="12.75" customHeight="1" x14ac:dyDescent="0.15">
      <c r="B854" s="33"/>
      <c r="E854" s="30"/>
    </row>
    <row r="855" spans="2:5" ht="12.75" customHeight="1" x14ac:dyDescent="0.15">
      <c r="B855" s="33"/>
      <c r="E855" s="30"/>
    </row>
    <row r="856" spans="2:5" ht="12.75" customHeight="1" x14ac:dyDescent="0.15">
      <c r="B856" s="33"/>
      <c r="E856" s="30"/>
    </row>
    <row r="857" spans="2:5" ht="12.75" customHeight="1" x14ac:dyDescent="0.15">
      <c r="B857" s="33"/>
      <c r="E857" s="30"/>
    </row>
    <row r="858" spans="2:5" ht="12.75" customHeight="1" x14ac:dyDescent="0.15">
      <c r="B858" s="33"/>
      <c r="E858" s="30"/>
    </row>
    <row r="859" spans="2:5" ht="12.75" customHeight="1" x14ac:dyDescent="0.15">
      <c r="B859" s="33"/>
      <c r="E859" s="30"/>
    </row>
    <row r="860" spans="2:5" ht="12.75" customHeight="1" x14ac:dyDescent="0.15">
      <c r="B860" s="33"/>
      <c r="E860" s="30"/>
    </row>
    <row r="861" spans="2:5" ht="12.75" customHeight="1" x14ac:dyDescent="0.15">
      <c r="B861" s="33"/>
      <c r="E861" s="30"/>
    </row>
    <row r="862" spans="2:5" ht="12.75" customHeight="1" x14ac:dyDescent="0.15">
      <c r="B862" s="33"/>
      <c r="E862" s="30"/>
    </row>
    <row r="863" spans="2:5" ht="12.75" customHeight="1" x14ac:dyDescent="0.15">
      <c r="B863" s="33"/>
      <c r="E863" s="30"/>
    </row>
    <row r="864" spans="2:5" ht="12.75" customHeight="1" x14ac:dyDescent="0.15">
      <c r="B864" s="33"/>
      <c r="E864" s="30"/>
    </row>
    <row r="865" spans="2:5" ht="12.75" customHeight="1" x14ac:dyDescent="0.15">
      <c r="B865" s="33"/>
      <c r="E865" s="30"/>
    </row>
    <row r="866" spans="2:5" ht="12.75" customHeight="1" x14ac:dyDescent="0.15">
      <c r="B866" s="33"/>
      <c r="E866" s="30"/>
    </row>
    <row r="867" spans="2:5" ht="12.75" customHeight="1" x14ac:dyDescent="0.15">
      <c r="B867" s="33"/>
      <c r="E867" s="30"/>
    </row>
    <row r="868" spans="2:5" ht="12.75" customHeight="1" x14ac:dyDescent="0.15">
      <c r="B868" s="33"/>
      <c r="E868" s="30"/>
    </row>
    <row r="869" spans="2:5" ht="12.75" customHeight="1" x14ac:dyDescent="0.15">
      <c r="B869" s="33"/>
      <c r="E869" s="30"/>
    </row>
    <row r="870" spans="2:5" ht="12.75" customHeight="1" x14ac:dyDescent="0.15">
      <c r="B870" s="33"/>
      <c r="E870" s="30"/>
    </row>
    <row r="871" spans="2:5" ht="12.75" customHeight="1" x14ac:dyDescent="0.15">
      <c r="B871" s="33"/>
      <c r="E871" s="30"/>
    </row>
    <row r="872" spans="2:5" ht="12.75" customHeight="1" x14ac:dyDescent="0.15">
      <c r="B872" s="33"/>
      <c r="E872" s="30"/>
    </row>
    <row r="873" spans="2:5" ht="12.75" customHeight="1" x14ac:dyDescent="0.15">
      <c r="B873" s="33"/>
      <c r="E873" s="30"/>
    </row>
    <row r="874" spans="2:5" ht="12.75" customHeight="1" x14ac:dyDescent="0.15">
      <c r="B874" s="33"/>
      <c r="E874" s="30"/>
    </row>
    <row r="875" spans="2:5" ht="12.75" customHeight="1" x14ac:dyDescent="0.15">
      <c r="B875" s="33"/>
      <c r="E875" s="30"/>
    </row>
    <row r="876" spans="2:5" ht="12.75" customHeight="1" x14ac:dyDescent="0.15">
      <c r="B876" s="33"/>
      <c r="E876" s="30"/>
    </row>
    <row r="877" spans="2:5" ht="12.75" customHeight="1" x14ac:dyDescent="0.15">
      <c r="B877" s="33"/>
      <c r="E877" s="30"/>
    </row>
    <row r="878" spans="2:5" ht="12.75" customHeight="1" x14ac:dyDescent="0.15">
      <c r="B878" s="33"/>
      <c r="E878" s="30"/>
    </row>
    <row r="879" spans="2:5" ht="12.75" customHeight="1" x14ac:dyDescent="0.15">
      <c r="B879" s="33"/>
      <c r="E879" s="30"/>
    </row>
    <row r="880" spans="2:5" ht="12.75" customHeight="1" x14ac:dyDescent="0.15">
      <c r="B880" s="33"/>
      <c r="E880" s="30"/>
    </row>
    <row r="881" spans="2:5" ht="12.75" customHeight="1" x14ac:dyDescent="0.15">
      <c r="B881" s="33"/>
      <c r="E881" s="30"/>
    </row>
    <row r="882" spans="2:5" ht="12.75" customHeight="1" x14ac:dyDescent="0.15">
      <c r="B882" s="33"/>
      <c r="E882" s="30"/>
    </row>
    <row r="883" spans="2:5" ht="12.75" customHeight="1" x14ac:dyDescent="0.15">
      <c r="B883" s="33"/>
      <c r="E883" s="30"/>
    </row>
    <row r="884" spans="2:5" ht="12.75" customHeight="1" x14ac:dyDescent="0.15">
      <c r="B884" s="33"/>
      <c r="E884" s="30"/>
    </row>
    <row r="885" spans="2:5" ht="12.75" customHeight="1" x14ac:dyDescent="0.15">
      <c r="B885" s="33"/>
      <c r="E885" s="30"/>
    </row>
    <row r="886" spans="2:5" ht="12.75" customHeight="1" x14ac:dyDescent="0.15">
      <c r="B886" s="33"/>
      <c r="E886" s="30"/>
    </row>
    <row r="887" spans="2:5" ht="12.75" customHeight="1" x14ac:dyDescent="0.15">
      <c r="B887" s="33"/>
      <c r="E887" s="30"/>
    </row>
    <row r="888" spans="2:5" ht="12.75" customHeight="1" x14ac:dyDescent="0.15">
      <c r="B888" s="33"/>
      <c r="E888" s="30"/>
    </row>
    <row r="889" spans="2:5" ht="12.75" customHeight="1" x14ac:dyDescent="0.15">
      <c r="B889" s="33"/>
      <c r="E889" s="30"/>
    </row>
    <row r="890" spans="2:5" ht="12.75" customHeight="1" x14ac:dyDescent="0.15">
      <c r="B890" s="33"/>
      <c r="E890" s="30"/>
    </row>
    <row r="891" spans="2:5" ht="12.75" customHeight="1" x14ac:dyDescent="0.15">
      <c r="B891" s="33"/>
      <c r="E891" s="30"/>
    </row>
    <row r="892" spans="2:5" ht="12.75" customHeight="1" x14ac:dyDescent="0.15">
      <c r="B892" s="33"/>
      <c r="E892" s="30"/>
    </row>
    <row r="893" spans="2:5" ht="12.75" customHeight="1" x14ac:dyDescent="0.15">
      <c r="B893" s="33"/>
      <c r="E893" s="30"/>
    </row>
    <row r="894" spans="2:5" ht="12.75" customHeight="1" x14ac:dyDescent="0.15">
      <c r="B894" s="33"/>
      <c r="E894" s="30"/>
    </row>
    <row r="895" spans="2:5" ht="12.75" customHeight="1" x14ac:dyDescent="0.15">
      <c r="B895" s="33"/>
      <c r="E895" s="30"/>
    </row>
    <row r="896" spans="2:5" ht="12.75" customHeight="1" x14ac:dyDescent="0.15">
      <c r="B896" s="33"/>
      <c r="E896" s="30"/>
    </row>
    <row r="897" spans="2:5" ht="12.75" customHeight="1" x14ac:dyDescent="0.15">
      <c r="B897" s="33"/>
      <c r="E897" s="30"/>
    </row>
    <row r="898" spans="2:5" ht="12.75" customHeight="1" x14ac:dyDescent="0.15">
      <c r="B898" s="33"/>
      <c r="E898" s="30"/>
    </row>
    <row r="899" spans="2:5" ht="12.75" customHeight="1" x14ac:dyDescent="0.15">
      <c r="B899" s="33"/>
      <c r="E899" s="30"/>
    </row>
    <row r="900" spans="2:5" ht="12.75" customHeight="1" x14ac:dyDescent="0.15">
      <c r="B900" s="33"/>
      <c r="E900" s="30"/>
    </row>
    <row r="901" spans="2:5" ht="12.75" customHeight="1" x14ac:dyDescent="0.15">
      <c r="B901" s="33"/>
      <c r="E901" s="30"/>
    </row>
    <row r="902" spans="2:5" ht="12.75" customHeight="1" x14ac:dyDescent="0.15">
      <c r="B902" s="33"/>
      <c r="E902" s="30"/>
    </row>
    <row r="903" spans="2:5" ht="12.75" customHeight="1" x14ac:dyDescent="0.15">
      <c r="B903" s="33"/>
      <c r="E903" s="30"/>
    </row>
    <row r="904" spans="2:5" ht="12.75" customHeight="1" x14ac:dyDescent="0.15">
      <c r="B904" s="33"/>
      <c r="E904" s="30"/>
    </row>
    <row r="905" spans="2:5" ht="12.75" customHeight="1" x14ac:dyDescent="0.15">
      <c r="B905" s="33"/>
      <c r="E905" s="30"/>
    </row>
    <row r="906" spans="2:5" ht="12.75" customHeight="1" x14ac:dyDescent="0.15">
      <c r="B906" s="33"/>
      <c r="E906" s="30"/>
    </row>
    <row r="907" spans="2:5" ht="12.75" customHeight="1" x14ac:dyDescent="0.15">
      <c r="B907" s="33"/>
      <c r="E907" s="30"/>
    </row>
    <row r="908" spans="2:5" ht="12.75" customHeight="1" x14ac:dyDescent="0.15">
      <c r="B908" s="33"/>
      <c r="E908" s="30"/>
    </row>
    <row r="909" spans="2:5" ht="12.75" customHeight="1" x14ac:dyDescent="0.15">
      <c r="B909" s="33"/>
      <c r="E909" s="30"/>
    </row>
    <row r="910" spans="2:5" ht="12.75" customHeight="1" x14ac:dyDescent="0.15">
      <c r="B910" s="33"/>
      <c r="E910" s="30"/>
    </row>
    <row r="911" spans="2:5" ht="12.75" customHeight="1" x14ac:dyDescent="0.15">
      <c r="B911" s="33"/>
      <c r="E911" s="30"/>
    </row>
    <row r="912" spans="2:5" ht="12.75" customHeight="1" x14ac:dyDescent="0.15">
      <c r="B912" s="33"/>
      <c r="E912" s="30"/>
    </row>
    <row r="913" spans="2:5" ht="12.75" customHeight="1" x14ac:dyDescent="0.15">
      <c r="B913" s="33"/>
      <c r="E913" s="30"/>
    </row>
    <row r="914" spans="2:5" ht="12.75" customHeight="1" x14ac:dyDescent="0.15">
      <c r="B914" s="33"/>
      <c r="E914" s="30"/>
    </row>
    <row r="915" spans="2:5" ht="12.75" customHeight="1" x14ac:dyDescent="0.15">
      <c r="B915" s="33"/>
      <c r="E915" s="30"/>
    </row>
    <row r="916" spans="2:5" ht="12.75" customHeight="1" x14ac:dyDescent="0.15">
      <c r="B916" s="33"/>
      <c r="E916" s="30"/>
    </row>
    <row r="917" spans="2:5" ht="12.75" customHeight="1" x14ac:dyDescent="0.15">
      <c r="B917" s="33"/>
      <c r="E917" s="30"/>
    </row>
    <row r="918" spans="2:5" ht="12.75" customHeight="1" x14ac:dyDescent="0.15">
      <c r="B918" s="33"/>
      <c r="E918" s="30"/>
    </row>
    <row r="919" spans="2:5" ht="12.75" customHeight="1" x14ac:dyDescent="0.15">
      <c r="B919" s="33"/>
      <c r="E919" s="30"/>
    </row>
    <row r="920" spans="2:5" ht="12.75" customHeight="1" x14ac:dyDescent="0.15">
      <c r="B920" s="33"/>
      <c r="E920" s="30"/>
    </row>
    <row r="921" spans="2:5" ht="12.75" customHeight="1" x14ac:dyDescent="0.15">
      <c r="B921" s="33"/>
      <c r="E921" s="30"/>
    </row>
    <row r="922" spans="2:5" ht="12.75" customHeight="1" x14ac:dyDescent="0.15">
      <c r="B922" s="33"/>
      <c r="E922" s="30"/>
    </row>
    <row r="923" spans="2:5" ht="12.75" customHeight="1" x14ac:dyDescent="0.15">
      <c r="B923" s="33"/>
      <c r="E923" s="30"/>
    </row>
    <row r="924" spans="2:5" ht="12.75" customHeight="1" x14ac:dyDescent="0.15">
      <c r="B924" s="33"/>
      <c r="E924" s="30"/>
    </row>
    <row r="925" spans="2:5" ht="12.75" customHeight="1" x14ac:dyDescent="0.15">
      <c r="B925" s="33"/>
      <c r="E925" s="30"/>
    </row>
    <row r="926" spans="2:5" ht="12.75" customHeight="1" x14ac:dyDescent="0.15">
      <c r="B926" s="33"/>
      <c r="E926" s="30"/>
    </row>
    <row r="927" spans="2:5" ht="12.75" customHeight="1" x14ac:dyDescent="0.15">
      <c r="B927" s="33"/>
      <c r="E927" s="30"/>
    </row>
    <row r="928" spans="2:5" ht="12.75" customHeight="1" x14ac:dyDescent="0.15">
      <c r="B928" s="33"/>
      <c r="E928" s="30"/>
    </row>
    <row r="929" spans="2:5" ht="12.75" customHeight="1" x14ac:dyDescent="0.15">
      <c r="B929" s="33"/>
      <c r="E929" s="30"/>
    </row>
    <row r="930" spans="2:5" ht="12.75" customHeight="1" x14ac:dyDescent="0.15">
      <c r="B930" s="33"/>
      <c r="E930" s="30"/>
    </row>
    <row r="931" spans="2:5" ht="12.75" customHeight="1" x14ac:dyDescent="0.15">
      <c r="B931" s="33"/>
      <c r="E931" s="30"/>
    </row>
    <row r="932" spans="2:5" ht="12.75" customHeight="1" x14ac:dyDescent="0.15">
      <c r="B932" s="33"/>
      <c r="E932" s="30"/>
    </row>
    <row r="933" spans="2:5" ht="12.75" customHeight="1" x14ac:dyDescent="0.15">
      <c r="B933" s="33"/>
      <c r="E933" s="30"/>
    </row>
    <row r="934" spans="2:5" ht="12.75" customHeight="1" x14ac:dyDescent="0.15">
      <c r="B934" s="33"/>
      <c r="E934" s="30"/>
    </row>
    <row r="935" spans="2:5" ht="12.75" customHeight="1" x14ac:dyDescent="0.15">
      <c r="B935" s="33"/>
      <c r="E935" s="30"/>
    </row>
    <row r="936" spans="2:5" ht="12.75" customHeight="1" x14ac:dyDescent="0.15">
      <c r="B936" s="33"/>
      <c r="E936" s="30"/>
    </row>
    <row r="937" spans="2:5" ht="12.75" customHeight="1" x14ac:dyDescent="0.15">
      <c r="B937" s="33"/>
      <c r="E937" s="30"/>
    </row>
    <row r="938" spans="2:5" ht="12.75" customHeight="1" x14ac:dyDescent="0.15">
      <c r="B938" s="33"/>
      <c r="E938" s="30"/>
    </row>
    <row r="939" spans="2:5" ht="12.75" customHeight="1" x14ac:dyDescent="0.15">
      <c r="B939" s="33"/>
      <c r="E939" s="30"/>
    </row>
    <row r="940" spans="2:5" ht="12.75" customHeight="1" x14ac:dyDescent="0.15">
      <c r="B940" s="33"/>
      <c r="E940" s="30"/>
    </row>
    <row r="941" spans="2:5" ht="12.75" customHeight="1" x14ac:dyDescent="0.15">
      <c r="B941" s="33"/>
      <c r="E941" s="30"/>
    </row>
    <row r="942" spans="2:5" ht="12.75" customHeight="1" x14ac:dyDescent="0.15">
      <c r="B942" s="33"/>
      <c r="E942" s="30"/>
    </row>
    <row r="943" spans="2:5" ht="12.75" customHeight="1" x14ac:dyDescent="0.15">
      <c r="B943" s="33"/>
      <c r="E943" s="30"/>
    </row>
    <row r="944" spans="2:5" ht="12.75" customHeight="1" x14ac:dyDescent="0.15">
      <c r="B944" s="33"/>
      <c r="E944" s="30"/>
    </row>
    <row r="945" spans="2:5" ht="12.75" customHeight="1" x14ac:dyDescent="0.15">
      <c r="B945" s="33"/>
      <c r="E945" s="30"/>
    </row>
    <row r="946" spans="2:5" ht="12.75" customHeight="1" x14ac:dyDescent="0.15">
      <c r="B946" s="33"/>
      <c r="E946" s="30"/>
    </row>
    <row r="947" spans="2:5" ht="12.75" customHeight="1" x14ac:dyDescent="0.15">
      <c r="B947" s="33"/>
      <c r="E947" s="30"/>
    </row>
    <row r="948" spans="2:5" ht="12.75" customHeight="1" x14ac:dyDescent="0.15">
      <c r="B948" s="33"/>
      <c r="E948" s="30"/>
    </row>
    <row r="949" spans="2:5" ht="12.75" customHeight="1" x14ac:dyDescent="0.15">
      <c r="B949" s="33"/>
      <c r="E949" s="30"/>
    </row>
    <row r="950" spans="2:5" ht="12.75" customHeight="1" x14ac:dyDescent="0.15">
      <c r="B950" s="33"/>
      <c r="E950" s="30"/>
    </row>
    <row r="951" spans="2:5" ht="12.75" customHeight="1" x14ac:dyDescent="0.15">
      <c r="B951" s="33"/>
      <c r="E951" s="30"/>
    </row>
    <row r="952" spans="2:5" ht="12.75" customHeight="1" x14ac:dyDescent="0.15">
      <c r="B952" s="33"/>
      <c r="E952" s="30"/>
    </row>
    <row r="953" spans="2:5" ht="12.75" customHeight="1" x14ac:dyDescent="0.15">
      <c r="B953" s="33"/>
      <c r="E953" s="30"/>
    </row>
    <row r="954" spans="2:5" ht="12.75" customHeight="1" x14ac:dyDescent="0.15">
      <c r="B954" s="33"/>
      <c r="E954" s="30"/>
    </row>
    <row r="955" spans="2:5" ht="12.75" customHeight="1" x14ac:dyDescent="0.15">
      <c r="B955" s="33"/>
      <c r="E955" s="30"/>
    </row>
    <row r="956" spans="2:5" ht="12.75" customHeight="1" x14ac:dyDescent="0.15">
      <c r="B956" s="33"/>
      <c r="E956" s="30"/>
    </row>
    <row r="957" spans="2:5" ht="12.75" customHeight="1" x14ac:dyDescent="0.15">
      <c r="B957" s="33"/>
      <c r="E957" s="30"/>
    </row>
    <row r="958" spans="2:5" ht="12.75" customHeight="1" x14ac:dyDescent="0.15">
      <c r="B958" s="33"/>
      <c r="E958" s="30"/>
    </row>
    <row r="959" spans="2:5" ht="12.75" customHeight="1" x14ac:dyDescent="0.15">
      <c r="B959" s="33"/>
      <c r="E959" s="30"/>
    </row>
    <row r="960" spans="2:5" ht="12.75" customHeight="1" x14ac:dyDescent="0.15">
      <c r="B960" s="33"/>
      <c r="E960" s="30"/>
    </row>
    <row r="961" spans="2:5" ht="12.75" customHeight="1" x14ac:dyDescent="0.15">
      <c r="B961" s="33"/>
      <c r="E961" s="30"/>
    </row>
    <row r="962" spans="2:5" ht="12.75" customHeight="1" x14ac:dyDescent="0.15">
      <c r="B962" s="33"/>
      <c r="E962" s="30"/>
    </row>
    <row r="963" spans="2:5" ht="12.75" customHeight="1" x14ac:dyDescent="0.15">
      <c r="B963" s="33"/>
      <c r="E963" s="30"/>
    </row>
    <row r="964" spans="2:5" ht="12.75" customHeight="1" x14ac:dyDescent="0.15">
      <c r="B964" s="33"/>
      <c r="E964" s="30"/>
    </row>
    <row r="965" spans="2:5" ht="12.75" customHeight="1" x14ac:dyDescent="0.15">
      <c r="B965" s="33"/>
      <c r="E965" s="30"/>
    </row>
    <row r="966" spans="2:5" ht="12.75" customHeight="1" x14ac:dyDescent="0.15">
      <c r="B966" s="33"/>
      <c r="E966" s="30"/>
    </row>
    <row r="967" spans="2:5" ht="12.75" customHeight="1" x14ac:dyDescent="0.15">
      <c r="B967" s="33"/>
      <c r="E967" s="30"/>
    </row>
    <row r="968" spans="2:5" ht="12.75" customHeight="1" x14ac:dyDescent="0.15">
      <c r="B968" s="33"/>
      <c r="E968" s="30"/>
    </row>
    <row r="969" spans="2:5" ht="12.75" customHeight="1" x14ac:dyDescent="0.15">
      <c r="B969" s="33"/>
      <c r="E969" s="30"/>
    </row>
    <row r="970" spans="2:5" ht="12.75" customHeight="1" x14ac:dyDescent="0.15">
      <c r="B970" s="33"/>
      <c r="E970" s="30"/>
    </row>
    <row r="971" spans="2:5" ht="12.75" customHeight="1" x14ac:dyDescent="0.15">
      <c r="B971" s="33"/>
      <c r="E971" s="30"/>
    </row>
    <row r="972" spans="2:5" ht="12.75" customHeight="1" x14ac:dyDescent="0.15">
      <c r="B972" s="33"/>
      <c r="E972" s="30"/>
    </row>
    <row r="973" spans="2:5" ht="12.75" customHeight="1" x14ac:dyDescent="0.15">
      <c r="B973" s="33"/>
      <c r="E973" s="30"/>
    </row>
    <row r="974" spans="2:5" ht="12.75" customHeight="1" x14ac:dyDescent="0.15">
      <c r="B974" s="33"/>
      <c r="E974" s="30"/>
    </row>
    <row r="975" spans="2:5" ht="12.75" customHeight="1" x14ac:dyDescent="0.15">
      <c r="B975" s="33"/>
      <c r="E975" s="30"/>
    </row>
    <row r="976" spans="2:5" ht="12.75" customHeight="1" x14ac:dyDescent="0.15">
      <c r="B976" s="33"/>
      <c r="E976" s="30"/>
    </row>
    <row r="977" spans="2:5" ht="12.75" customHeight="1" x14ac:dyDescent="0.15">
      <c r="B977" s="33"/>
      <c r="E977" s="30"/>
    </row>
    <row r="978" spans="2:5" ht="12.75" customHeight="1" x14ac:dyDescent="0.15">
      <c r="B978" s="33"/>
      <c r="E978" s="30"/>
    </row>
    <row r="979" spans="2:5" ht="12.75" customHeight="1" x14ac:dyDescent="0.15">
      <c r="B979" s="33"/>
      <c r="E979" s="30"/>
    </row>
    <row r="980" spans="2:5" ht="12.75" customHeight="1" x14ac:dyDescent="0.15">
      <c r="B980" s="33"/>
      <c r="E980" s="30"/>
    </row>
    <row r="981" spans="2:5" ht="12.75" customHeight="1" x14ac:dyDescent="0.15">
      <c r="B981" s="33"/>
      <c r="E981" s="30"/>
    </row>
    <row r="982" spans="2:5" ht="12.75" customHeight="1" x14ac:dyDescent="0.15">
      <c r="B982" s="33"/>
      <c r="E982" s="30"/>
    </row>
    <row r="983" spans="2:5" ht="12.75" customHeight="1" x14ac:dyDescent="0.15">
      <c r="B983" s="33"/>
      <c r="E983" s="30"/>
    </row>
    <row r="984" spans="2:5" ht="12.75" customHeight="1" x14ac:dyDescent="0.15">
      <c r="B984" s="33"/>
      <c r="E984" s="30"/>
    </row>
    <row r="985" spans="2:5" ht="12.75" customHeight="1" x14ac:dyDescent="0.15">
      <c r="B985" s="33"/>
      <c r="E985" s="30"/>
    </row>
    <row r="986" spans="2:5" ht="12.75" customHeight="1" x14ac:dyDescent="0.15">
      <c r="B986" s="33"/>
      <c r="E986" s="30"/>
    </row>
    <row r="987" spans="2:5" ht="12.75" customHeight="1" x14ac:dyDescent="0.15">
      <c r="B987" s="33"/>
      <c r="E987" s="30"/>
    </row>
    <row r="988" spans="2:5" ht="12.75" customHeight="1" x14ac:dyDescent="0.15">
      <c r="B988" s="33"/>
      <c r="E988" s="30"/>
    </row>
    <row r="989" spans="2:5" ht="12.75" customHeight="1" x14ac:dyDescent="0.15">
      <c r="B989" s="33"/>
      <c r="E989" s="30"/>
    </row>
    <row r="990" spans="2:5" ht="12.75" customHeight="1" x14ac:dyDescent="0.15">
      <c r="B990" s="33"/>
      <c r="E990" s="30"/>
    </row>
    <row r="991" spans="2:5" ht="12.75" customHeight="1" x14ac:dyDescent="0.15">
      <c r="B991" s="33"/>
      <c r="E991" s="30"/>
    </row>
    <row r="992" spans="2:5" ht="12.75" customHeight="1" x14ac:dyDescent="0.15">
      <c r="B992" s="33"/>
      <c r="E992" s="30"/>
    </row>
    <row r="993" spans="2:5" ht="12.75" customHeight="1" x14ac:dyDescent="0.15">
      <c r="B993" s="33"/>
      <c r="E993" s="30"/>
    </row>
    <row r="994" spans="2:5" ht="12.75" customHeight="1" x14ac:dyDescent="0.15">
      <c r="B994" s="33"/>
      <c r="E994" s="30"/>
    </row>
    <row r="995" spans="2:5" ht="12.75" customHeight="1" x14ac:dyDescent="0.15">
      <c r="B995" s="33"/>
      <c r="E995" s="30"/>
    </row>
    <row r="996" spans="2:5" ht="12.75" customHeight="1" x14ac:dyDescent="0.15">
      <c r="B996" s="33"/>
      <c r="E996" s="30"/>
    </row>
    <row r="997" spans="2:5" ht="12.75" customHeight="1" x14ac:dyDescent="0.15">
      <c r="B997" s="33"/>
      <c r="E997" s="30"/>
    </row>
    <row r="998" spans="2:5" ht="12.75" customHeight="1" x14ac:dyDescent="0.15">
      <c r="B998" s="33"/>
      <c r="E998" s="30"/>
    </row>
    <row r="999" spans="2:5" ht="12.75" customHeight="1" x14ac:dyDescent="0.15">
      <c r="B999" s="33"/>
      <c r="E999" s="30"/>
    </row>
    <row r="1000" spans="2:5" ht="12.75" customHeight="1" x14ac:dyDescent="0.15">
      <c r="B1000" s="33"/>
      <c r="E1000" s="30"/>
    </row>
    <row r="1001" spans="2:5" ht="12.75" customHeight="1" x14ac:dyDescent="0.15">
      <c r="B1001" s="33"/>
      <c r="E1001" s="30"/>
    </row>
    <row r="1002" spans="2:5" ht="12.75" customHeight="1" x14ac:dyDescent="0.15">
      <c r="B1002" s="33"/>
      <c r="E1002" s="30"/>
    </row>
    <row r="1003" spans="2:5" ht="12.75" customHeight="1" x14ac:dyDescent="0.15">
      <c r="B1003" s="33"/>
      <c r="E1003" s="30"/>
    </row>
    <row r="1004" spans="2:5" ht="12.75" customHeight="1" x14ac:dyDescent="0.15">
      <c r="B1004" s="33"/>
      <c r="E1004" s="30"/>
    </row>
    <row r="1005" spans="2:5" ht="12.75" customHeight="1" x14ac:dyDescent="0.15">
      <c r="B1005" s="33"/>
      <c r="E1005" s="30"/>
    </row>
    <row r="1006" spans="2:5" ht="12.75" customHeight="1" x14ac:dyDescent="0.15">
      <c r="B1006" s="33"/>
      <c r="E1006" s="30"/>
    </row>
    <row r="1007" spans="2:5" ht="12.75" customHeight="1" x14ac:dyDescent="0.15">
      <c r="B1007" s="33"/>
      <c r="E1007" s="30"/>
    </row>
    <row r="1008" spans="2:5" ht="12.75" customHeight="1" x14ac:dyDescent="0.15">
      <c r="B1008" s="33"/>
      <c r="E1008" s="30"/>
    </row>
    <row r="1009" spans="2:5" ht="12.75" customHeight="1" x14ac:dyDescent="0.15">
      <c r="B1009" s="33"/>
      <c r="E1009" s="30"/>
    </row>
    <row r="1010" spans="2:5" ht="12.75" customHeight="1" x14ac:dyDescent="0.15">
      <c r="B1010" s="33"/>
      <c r="E1010" s="30"/>
    </row>
    <row r="1011" spans="2:5" ht="12.75" customHeight="1" x14ac:dyDescent="0.15">
      <c r="B1011" s="33"/>
      <c r="E1011" s="30"/>
    </row>
    <row r="1012" spans="2:5" ht="12.75" customHeight="1" x14ac:dyDescent="0.15">
      <c r="B1012" s="33"/>
      <c r="E1012" s="30"/>
    </row>
    <row r="1013" spans="2:5" ht="12.75" customHeight="1" x14ac:dyDescent="0.15">
      <c r="B1013" s="33"/>
      <c r="E1013" s="30"/>
    </row>
    <row r="1014" spans="2:5" ht="12.75" customHeight="1" x14ac:dyDescent="0.15">
      <c r="B1014" s="33"/>
      <c r="E1014" s="30"/>
    </row>
    <row r="1015" spans="2:5" ht="12.75" customHeight="1" x14ac:dyDescent="0.15">
      <c r="B1015" s="33"/>
      <c r="E1015" s="30"/>
    </row>
    <row r="1016" spans="2:5" ht="12.75" customHeight="1" x14ac:dyDescent="0.15">
      <c r="B1016" s="33"/>
      <c r="E1016" s="30"/>
    </row>
    <row r="1017" spans="2:5" ht="12.75" customHeight="1" x14ac:dyDescent="0.15">
      <c r="B1017" s="33"/>
      <c r="E1017" s="30"/>
    </row>
    <row r="1018" spans="2:5" ht="12.75" customHeight="1" x14ac:dyDescent="0.15">
      <c r="B1018" s="33"/>
      <c r="E1018" s="30"/>
    </row>
    <row r="1019" spans="2:5" ht="12.75" customHeight="1" x14ac:dyDescent="0.15">
      <c r="B1019" s="33"/>
      <c r="E1019" s="30"/>
    </row>
    <row r="1020" spans="2:5" ht="12.75" customHeight="1" x14ac:dyDescent="0.15">
      <c r="B1020" s="33"/>
      <c r="E1020" s="30"/>
    </row>
    <row r="1021" spans="2:5" ht="12.75" customHeight="1" x14ac:dyDescent="0.15">
      <c r="B1021" s="33"/>
      <c r="E1021" s="30"/>
    </row>
    <row r="1022" spans="2:5" ht="12.75" customHeight="1" x14ac:dyDescent="0.15">
      <c r="B1022" s="33"/>
      <c r="E1022" s="30"/>
    </row>
    <row r="1023" spans="2:5" ht="12.75" customHeight="1" x14ac:dyDescent="0.15">
      <c r="B1023" s="33"/>
      <c r="E1023" s="30"/>
    </row>
    <row r="1024" spans="2:5" ht="12.75" customHeight="1" x14ac:dyDescent="0.15">
      <c r="B1024" s="33"/>
      <c r="E1024" s="30"/>
    </row>
    <row r="1025" spans="2:5" ht="12.75" customHeight="1" x14ac:dyDescent="0.15">
      <c r="B1025" s="33"/>
      <c r="E1025" s="30"/>
    </row>
    <row r="1026" spans="2:5" ht="12.75" customHeight="1" x14ac:dyDescent="0.15">
      <c r="B1026" s="33"/>
      <c r="E1026" s="30"/>
    </row>
    <row r="1027" spans="2:5" ht="12.75" customHeight="1" x14ac:dyDescent="0.15">
      <c r="B1027" s="33"/>
      <c r="E1027" s="30"/>
    </row>
    <row r="1028" spans="2:5" ht="12.75" customHeight="1" x14ac:dyDescent="0.15">
      <c r="B1028" s="33"/>
      <c r="E1028" s="30"/>
    </row>
    <row r="1029" spans="2:5" ht="12.75" customHeight="1" x14ac:dyDescent="0.15">
      <c r="B1029" s="33"/>
      <c r="E1029" s="30"/>
    </row>
    <row r="1030" spans="2:5" ht="12.75" customHeight="1" x14ac:dyDescent="0.15">
      <c r="B1030" s="33"/>
      <c r="E1030" s="30"/>
    </row>
    <row r="1031" spans="2:5" ht="12.75" customHeight="1" x14ac:dyDescent="0.15">
      <c r="B1031" s="33"/>
      <c r="E1031" s="30"/>
    </row>
    <row r="1032" spans="2:5" ht="12.75" customHeight="1" x14ac:dyDescent="0.15">
      <c r="B1032" s="33"/>
      <c r="E1032" s="30"/>
    </row>
    <row r="1033" spans="2:5" ht="12.75" customHeight="1" x14ac:dyDescent="0.15">
      <c r="B1033" s="33"/>
      <c r="E1033" s="30"/>
    </row>
    <row r="1034" spans="2:5" ht="12.75" customHeight="1" x14ac:dyDescent="0.15">
      <c r="B1034" s="33"/>
      <c r="E1034" s="30"/>
    </row>
    <row r="1035" spans="2:5" ht="12.75" customHeight="1" x14ac:dyDescent="0.15">
      <c r="B1035" s="33"/>
      <c r="E1035" s="30"/>
    </row>
    <row r="1036" spans="2:5" ht="12.75" customHeight="1" x14ac:dyDescent="0.15">
      <c r="B1036" s="33"/>
      <c r="E1036" s="30"/>
    </row>
    <row r="1037" spans="2:5" ht="12.75" customHeight="1" x14ac:dyDescent="0.15">
      <c r="B1037" s="33"/>
      <c r="E1037" s="30"/>
    </row>
    <row r="1038" spans="2:5" ht="12.75" customHeight="1" x14ac:dyDescent="0.15">
      <c r="B1038" s="33"/>
      <c r="E1038" s="30"/>
    </row>
    <row r="1039" spans="2:5" ht="12.75" customHeight="1" x14ac:dyDescent="0.15">
      <c r="B1039" s="33"/>
      <c r="E1039" s="30"/>
    </row>
    <row r="1040" spans="2:5" ht="12.75" customHeight="1" x14ac:dyDescent="0.15">
      <c r="B1040" s="33"/>
      <c r="E1040" s="30"/>
    </row>
    <row r="1041" spans="2:5" ht="12.75" customHeight="1" x14ac:dyDescent="0.15">
      <c r="B1041" s="33"/>
      <c r="E1041" s="30"/>
    </row>
    <row r="1042" spans="2:5" ht="12.75" customHeight="1" x14ac:dyDescent="0.15">
      <c r="B1042" s="33"/>
      <c r="E1042" s="30"/>
    </row>
    <row r="1043" spans="2:5" ht="12.75" customHeight="1" x14ac:dyDescent="0.15">
      <c r="B1043" s="33"/>
      <c r="E1043" s="30"/>
    </row>
    <row r="1044" spans="2:5" ht="12.75" customHeight="1" x14ac:dyDescent="0.15">
      <c r="B1044" s="33"/>
      <c r="E1044" s="30"/>
    </row>
    <row r="1045" spans="2:5" ht="12.75" customHeight="1" x14ac:dyDescent="0.15">
      <c r="B1045" s="33"/>
      <c r="E1045" s="30"/>
    </row>
    <row r="1046" spans="2:5" ht="12.75" customHeight="1" x14ac:dyDescent="0.15">
      <c r="B1046" s="33"/>
      <c r="E1046" s="30"/>
    </row>
    <row r="1047" spans="2:5" ht="12.75" customHeight="1" x14ac:dyDescent="0.15">
      <c r="B1047" s="33"/>
      <c r="E1047" s="30"/>
    </row>
    <row r="1048" spans="2:5" ht="12.75" customHeight="1" x14ac:dyDescent="0.15">
      <c r="B1048" s="33"/>
      <c r="E1048" s="30"/>
    </row>
    <row r="1049" spans="2:5" ht="12.75" customHeight="1" x14ac:dyDescent="0.15">
      <c r="B1049" s="33"/>
      <c r="E1049" s="30"/>
    </row>
    <row r="1050" spans="2:5" ht="12.75" customHeight="1" x14ac:dyDescent="0.15">
      <c r="B1050" s="33"/>
      <c r="E1050" s="30"/>
    </row>
    <row r="1051" spans="2:5" ht="12.75" customHeight="1" x14ac:dyDescent="0.15">
      <c r="B1051" s="33"/>
      <c r="E1051" s="30"/>
    </row>
    <row r="1052" spans="2:5" ht="12.75" customHeight="1" x14ac:dyDescent="0.15">
      <c r="B1052" s="33"/>
      <c r="E1052" s="30"/>
    </row>
    <row r="1053" spans="2:5" ht="12.75" customHeight="1" x14ac:dyDescent="0.15">
      <c r="B1053" s="33"/>
      <c r="E1053" s="30"/>
    </row>
    <row r="1054" spans="2:5" ht="12.75" customHeight="1" x14ac:dyDescent="0.15">
      <c r="B1054" s="33"/>
      <c r="E1054" s="30"/>
    </row>
    <row r="1055" spans="2:5" ht="12.75" customHeight="1" x14ac:dyDescent="0.15">
      <c r="B1055" s="33"/>
      <c r="E1055" s="30"/>
    </row>
    <row r="1056" spans="2:5" ht="12.75" customHeight="1" x14ac:dyDescent="0.15">
      <c r="B1056" s="33"/>
      <c r="E1056" s="30"/>
    </row>
    <row r="1057" spans="2:5" ht="12.75" customHeight="1" x14ac:dyDescent="0.15">
      <c r="B1057" s="33"/>
      <c r="E1057" s="30"/>
    </row>
    <row r="1058" spans="2:5" ht="12.75" customHeight="1" x14ac:dyDescent="0.15">
      <c r="B1058" s="33"/>
      <c r="E1058" s="30"/>
    </row>
    <row r="1059" spans="2:5" ht="12.75" customHeight="1" x14ac:dyDescent="0.15">
      <c r="B1059" s="33"/>
      <c r="E1059" s="30"/>
    </row>
    <row r="1060" spans="2:5" ht="12.75" customHeight="1" x14ac:dyDescent="0.15">
      <c r="B1060" s="33"/>
      <c r="E1060" s="30"/>
    </row>
    <row r="1061" spans="2:5" ht="12.75" customHeight="1" x14ac:dyDescent="0.15">
      <c r="B1061" s="33"/>
      <c r="E1061" s="30"/>
    </row>
    <row r="1062" spans="2:5" ht="12.75" customHeight="1" x14ac:dyDescent="0.15">
      <c r="B1062" s="33"/>
      <c r="E1062" s="30"/>
    </row>
    <row r="1063" spans="2:5" ht="12.75" customHeight="1" x14ac:dyDescent="0.15">
      <c r="B1063" s="33"/>
      <c r="E1063" s="30"/>
    </row>
    <row r="1064" spans="2:5" ht="12.75" customHeight="1" x14ac:dyDescent="0.15">
      <c r="B1064" s="33"/>
      <c r="E1064" s="30"/>
    </row>
    <row r="1065" spans="2:5" ht="12.75" customHeight="1" x14ac:dyDescent="0.15">
      <c r="B1065" s="33"/>
      <c r="E1065" s="30"/>
    </row>
    <row r="1066" spans="2:5" ht="12.75" customHeight="1" x14ac:dyDescent="0.15">
      <c r="B1066" s="33"/>
      <c r="E1066" s="30"/>
    </row>
    <row r="1067" spans="2:5" ht="12.75" customHeight="1" x14ac:dyDescent="0.15">
      <c r="B1067" s="33"/>
      <c r="E1067" s="30"/>
    </row>
    <row r="1068" spans="2:5" ht="12.75" customHeight="1" x14ac:dyDescent="0.15">
      <c r="B1068" s="33"/>
      <c r="E1068" s="30"/>
    </row>
    <row r="1069" spans="2:5" ht="12.75" customHeight="1" x14ac:dyDescent="0.15">
      <c r="B1069" s="33"/>
      <c r="E1069" s="30"/>
    </row>
    <row r="1070" spans="2:5" ht="12.75" customHeight="1" x14ac:dyDescent="0.15">
      <c r="B1070" s="33"/>
      <c r="E1070" s="30"/>
    </row>
    <row r="1071" spans="2:5" ht="12.75" customHeight="1" x14ac:dyDescent="0.15">
      <c r="B1071" s="33"/>
      <c r="E1071" s="30"/>
    </row>
    <row r="1072" spans="2:5" ht="12.75" customHeight="1" x14ac:dyDescent="0.15">
      <c r="B1072" s="33"/>
      <c r="E1072" s="30"/>
    </row>
    <row r="1073" spans="2:5" ht="12.75" customHeight="1" x14ac:dyDescent="0.15">
      <c r="B1073" s="33"/>
      <c r="E1073" s="30"/>
    </row>
    <row r="1074" spans="2:5" ht="12.75" customHeight="1" x14ac:dyDescent="0.15">
      <c r="B1074" s="33"/>
      <c r="E1074" s="30"/>
    </row>
    <row r="1075" spans="2:5" ht="12.75" customHeight="1" x14ac:dyDescent="0.15">
      <c r="B1075" s="33"/>
      <c r="E1075" s="30"/>
    </row>
    <row r="1076" spans="2:5" ht="12.75" customHeight="1" x14ac:dyDescent="0.15">
      <c r="B1076" s="33"/>
      <c r="E1076" s="30"/>
    </row>
    <row r="1077" spans="2:5" ht="12.75" customHeight="1" x14ac:dyDescent="0.15">
      <c r="B1077" s="33"/>
      <c r="E1077" s="30"/>
    </row>
    <row r="1078" spans="2:5" ht="12.75" customHeight="1" x14ac:dyDescent="0.15">
      <c r="B1078" s="33"/>
      <c r="E1078" s="30"/>
    </row>
    <row r="1079" spans="2:5" ht="12.75" customHeight="1" x14ac:dyDescent="0.15">
      <c r="B1079" s="33"/>
      <c r="E1079" s="30"/>
    </row>
    <row r="1080" spans="2:5" ht="12.75" customHeight="1" x14ac:dyDescent="0.15">
      <c r="B1080" s="33"/>
      <c r="E1080" s="30"/>
    </row>
    <row r="1081" spans="2:5" ht="12.75" customHeight="1" x14ac:dyDescent="0.15">
      <c r="B1081" s="33"/>
      <c r="E1081" s="30"/>
    </row>
    <row r="1082" spans="2:5" ht="12.75" customHeight="1" x14ac:dyDescent="0.15">
      <c r="B1082" s="33"/>
      <c r="E1082" s="30"/>
    </row>
    <row r="1083" spans="2:5" ht="12.75" customHeight="1" x14ac:dyDescent="0.15">
      <c r="B1083" s="33"/>
      <c r="E1083" s="30"/>
    </row>
    <row r="1084" spans="2:5" ht="12.75" customHeight="1" x14ac:dyDescent="0.15">
      <c r="B1084" s="33"/>
      <c r="E1084" s="30"/>
    </row>
    <row r="1085" spans="2:5" ht="12.75" customHeight="1" x14ac:dyDescent="0.15">
      <c r="B1085" s="33"/>
      <c r="E1085" s="30"/>
    </row>
    <row r="1086" spans="2:5" ht="12.75" customHeight="1" x14ac:dyDescent="0.15">
      <c r="B1086" s="33"/>
      <c r="E1086" s="30"/>
    </row>
    <row r="1087" spans="2:5" ht="12.75" customHeight="1" x14ac:dyDescent="0.15">
      <c r="B1087" s="33"/>
      <c r="E1087" s="30"/>
    </row>
    <row r="1088" spans="2:5" ht="12.75" customHeight="1" x14ac:dyDescent="0.15">
      <c r="B1088" s="33"/>
      <c r="E1088" s="30"/>
    </row>
    <row r="1089" spans="2:5" ht="12.75" customHeight="1" x14ac:dyDescent="0.15">
      <c r="B1089" s="33"/>
      <c r="E1089" s="30"/>
    </row>
    <row r="1090" spans="2:5" ht="12.75" customHeight="1" x14ac:dyDescent="0.15">
      <c r="B1090" s="33"/>
      <c r="E1090" s="30"/>
    </row>
    <row r="1091" spans="2:5" ht="12.75" customHeight="1" x14ac:dyDescent="0.15">
      <c r="B1091" s="33"/>
      <c r="E1091" s="30"/>
    </row>
    <row r="1092" spans="2:5" ht="12.75" customHeight="1" x14ac:dyDescent="0.15">
      <c r="B1092" s="33"/>
      <c r="E1092" s="30"/>
    </row>
    <row r="1093" spans="2:5" ht="12.75" customHeight="1" x14ac:dyDescent="0.15">
      <c r="B1093" s="33"/>
      <c r="E1093" s="30"/>
    </row>
    <row r="1094" spans="2:5" ht="12.75" customHeight="1" x14ac:dyDescent="0.15">
      <c r="B1094" s="33"/>
      <c r="E1094" s="30"/>
    </row>
    <row r="1095" spans="2:5" ht="12.75" customHeight="1" x14ac:dyDescent="0.15">
      <c r="B1095" s="33"/>
      <c r="E1095" s="30"/>
    </row>
    <row r="1096" spans="2:5" ht="12.75" customHeight="1" x14ac:dyDescent="0.15">
      <c r="B1096" s="33"/>
      <c r="E1096" s="30"/>
    </row>
    <row r="1097" spans="2:5" ht="12.75" customHeight="1" x14ac:dyDescent="0.15">
      <c r="B1097" s="33"/>
      <c r="E1097" s="30"/>
    </row>
    <row r="1098" spans="2:5" ht="12.75" customHeight="1" x14ac:dyDescent="0.15">
      <c r="B1098" s="33"/>
      <c r="E1098" s="30"/>
    </row>
    <row r="1099" spans="2:5" ht="12.75" customHeight="1" x14ac:dyDescent="0.15">
      <c r="B1099" s="33"/>
      <c r="E1099" s="30"/>
    </row>
    <row r="1100" spans="2:5" ht="12.75" customHeight="1" x14ac:dyDescent="0.15">
      <c r="B1100" s="33"/>
      <c r="E1100" s="30"/>
    </row>
    <row r="1101" spans="2:5" ht="12.75" customHeight="1" x14ac:dyDescent="0.15">
      <c r="B1101" s="33"/>
      <c r="E1101" s="30"/>
    </row>
    <row r="1102" spans="2:5" ht="12.75" customHeight="1" x14ac:dyDescent="0.15">
      <c r="B1102" s="33"/>
      <c r="E1102" s="30"/>
    </row>
    <row r="1103" spans="2:5" ht="12.75" customHeight="1" x14ac:dyDescent="0.15">
      <c r="B1103" s="33"/>
      <c r="E1103" s="30"/>
    </row>
    <row r="1104" spans="2:5" ht="12.75" customHeight="1" x14ac:dyDescent="0.15">
      <c r="B1104" s="33"/>
      <c r="E1104" s="30"/>
    </row>
  </sheetData>
  <pageMargins left="0.7" right="0.7" top="0.75" bottom="0.75" header="0" footer="0"/>
  <pageSetup scale="7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opLeftCell="A5" workbookViewId="0"/>
  </sheetViews>
  <sheetFormatPr baseColWidth="10" defaultColWidth="12.6640625" defaultRowHeight="15" customHeight="1" x14ac:dyDescent="0.15"/>
  <cols>
    <col min="1" max="1" width="26.33203125" customWidth="1"/>
    <col min="2" max="2" width="22.1640625" customWidth="1"/>
    <col min="3" max="5" width="21.1640625" customWidth="1"/>
    <col min="6" max="6" width="20.6640625" bestFit="1" customWidth="1"/>
    <col min="7" max="26" width="8.6640625" customWidth="1"/>
  </cols>
  <sheetData>
    <row r="1" spans="1:6" ht="12.75" customHeight="1" x14ac:dyDescent="0.15">
      <c r="A1" s="34" t="s">
        <v>135</v>
      </c>
      <c r="B1" s="35" t="s">
        <v>136</v>
      </c>
      <c r="C1" s="35" t="s">
        <v>137</v>
      </c>
      <c r="D1" s="35" t="s">
        <v>138</v>
      </c>
      <c r="E1" s="35" t="s">
        <v>139</v>
      </c>
      <c r="F1" s="35" t="s">
        <v>140</v>
      </c>
    </row>
    <row r="2" spans="1:6" ht="12.75" customHeight="1" x14ac:dyDescent="0.15">
      <c r="A2" s="36" t="s">
        <v>141</v>
      </c>
      <c r="B2" s="37">
        <v>45992</v>
      </c>
      <c r="C2" s="38">
        <v>45672</v>
      </c>
      <c r="D2" s="38">
        <f>WORKDAY(C2,-4,'Holidays &amp; Calendar'!$A$2:$A$46)</f>
        <v>45666</v>
      </c>
      <c r="E2" s="38">
        <f>WORKDAY(C2,-2,'Holidays &amp; Calendar'!$A$2:$A$46)</f>
        <v>45670</v>
      </c>
      <c r="F2" s="38">
        <f>WORKDAY(C2,-1,'Holidays &amp; Calendar'!$A$2:$A$46)</f>
        <v>45671</v>
      </c>
    </row>
    <row r="3" spans="1:6" ht="12.75" customHeight="1" x14ac:dyDescent="0.15">
      <c r="A3" s="36" t="s">
        <v>142</v>
      </c>
      <c r="B3" s="37">
        <v>46023</v>
      </c>
      <c r="C3" s="38">
        <v>45698</v>
      </c>
      <c r="D3" s="38">
        <f>WORKDAY(C3,-4,'Holidays &amp; Calendar'!$A$2:$A$46)</f>
        <v>45692</v>
      </c>
      <c r="E3" s="38">
        <f>WORKDAY(C3,-2,'Holidays &amp; Calendar'!$A$2:$A$46)</f>
        <v>45694</v>
      </c>
      <c r="F3" s="38">
        <f>WORKDAY(C3,-1,'Holidays &amp; Calendar'!$A$2:$A$46)</f>
        <v>45695</v>
      </c>
    </row>
    <row r="4" spans="1:6" ht="12.75" customHeight="1" x14ac:dyDescent="0.15">
      <c r="A4" s="36" t="s">
        <v>142</v>
      </c>
      <c r="B4" s="37">
        <v>46054</v>
      </c>
      <c r="C4" s="38">
        <v>45726</v>
      </c>
      <c r="D4" s="38">
        <f>WORKDAY(C4,-4,'Holidays &amp; Calendar'!$A$2:$A$46)</f>
        <v>45720</v>
      </c>
      <c r="E4" s="38">
        <f>WORKDAY(C4,-2,'Holidays &amp; Calendar'!$A$2:$A$46)</f>
        <v>45722</v>
      </c>
      <c r="F4" s="38">
        <f>WORKDAY(C4,-1,'Holidays &amp; Calendar'!$A$2:$A$46)</f>
        <v>45723</v>
      </c>
    </row>
    <row r="5" spans="1:6" ht="12.75" customHeight="1" x14ac:dyDescent="0.15">
      <c r="A5" s="36" t="s">
        <v>142</v>
      </c>
      <c r="B5" s="37">
        <v>46082</v>
      </c>
      <c r="C5" s="38">
        <v>45757</v>
      </c>
      <c r="D5" s="38">
        <f>WORKDAY(C5,-4,'Holidays &amp; Calendar'!$A$2:$A$46)</f>
        <v>45751</v>
      </c>
      <c r="E5" s="38">
        <f>WORKDAY(C5,-2,'Holidays &amp; Calendar'!$A$2:$A$46)</f>
        <v>45755</v>
      </c>
      <c r="F5" s="38">
        <f>WORKDAY(C5,-1,'Holidays &amp; Calendar'!$A$2:$A$46)</f>
        <v>45756</v>
      </c>
    </row>
    <row r="6" spans="1:6" ht="12.75" customHeight="1" x14ac:dyDescent="0.15">
      <c r="A6" s="36" t="s">
        <v>142</v>
      </c>
      <c r="B6" s="37">
        <v>46113</v>
      </c>
      <c r="C6" s="39">
        <v>45787</v>
      </c>
      <c r="D6" s="39">
        <f>WORKDAY(C6,-4,'Holidays &amp; Calendar'!$A$2:$A$46)</f>
        <v>45783</v>
      </c>
      <c r="E6" s="39">
        <f>WORKDAY(C6,-2,'Holidays &amp; Calendar'!$A$2:$A$46)</f>
        <v>45785</v>
      </c>
      <c r="F6" s="39">
        <f>WORKDAY(C6,-1,'Holidays &amp; Calendar'!$A$2:$A$46)</f>
        <v>45786</v>
      </c>
    </row>
    <row r="7" spans="1:6" ht="12.75" customHeight="1" x14ac:dyDescent="0.15">
      <c r="A7" s="36" t="s">
        <v>142</v>
      </c>
      <c r="B7" s="40">
        <v>46143</v>
      </c>
      <c r="C7" s="38">
        <v>45818</v>
      </c>
      <c r="D7" s="38">
        <f>WORKDAY(C7,-4,'Holidays &amp; Calendar'!$A$2:$A$46)</f>
        <v>45812</v>
      </c>
      <c r="E7" s="38">
        <f>WORKDAY(C7,-2,'Holidays &amp; Calendar'!$A$2:$A$46)</f>
        <v>45814</v>
      </c>
      <c r="F7" s="38">
        <f>WORKDAY(C7,-1,'Holidays &amp; Calendar'!$A$2:$A$46)</f>
        <v>45817</v>
      </c>
    </row>
    <row r="8" spans="1:6" ht="12.75" customHeight="1" x14ac:dyDescent="0.15">
      <c r="A8" s="36" t="s">
        <v>142</v>
      </c>
      <c r="B8" s="37">
        <v>46174</v>
      </c>
      <c r="C8" s="38">
        <v>45848</v>
      </c>
      <c r="D8" s="38">
        <f>WORKDAY(C8,-4,'Holidays &amp; Calendar'!$A$2:$A$46)</f>
        <v>45842</v>
      </c>
      <c r="E8" s="38">
        <f>WORKDAY(C8,-2,'Holidays &amp; Calendar'!$A$2:$A$46)</f>
        <v>45846</v>
      </c>
      <c r="F8" s="38">
        <f>WORKDAY(C8,-1,'Holidays &amp; Calendar'!$A$2:$A$46)</f>
        <v>45847</v>
      </c>
    </row>
    <row r="9" spans="1:6" ht="12.75" customHeight="1" x14ac:dyDescent="0.15">
      <c r="A9" s="36" t="s">
        <v>142</v>
      </c>
      <c r="B9" s="37">
        <v>46204</v>
      </c>
      <c r="C9" s="38">
        <v>45879</v>
      </c>
      <c r="D9" s="38">
        <f>WORKDAY(C9,-4,'Holidays &amp; Calendar'!$A$2:$A$46)</f>
        <v>45874</v>
      </c>
      <c r="E9" s="38">
        <f>WORKDAY(C9,-2,'Holidays &amp; Calendar'!$A$2:$A$46)</f>
        <v>45876</v>
      </c>
      <c r="F9" s="38">
        <f>WORKDAY(C9,-1,'Holidays &amp; Calendar'!$A$2:$A$46)</f>
        <v>45877</v>
      </c>
    </row>
    <row r="10" spans="1:6" ht="12.75" customHeight="1" x14ac:dyDescent="0.15">
      <c r="A10" s="36" t="s">
        <v>142</v>
      </c>
      <c r="B10" s="37">
        <v>46235</v>
      </c>
      <c r="C10" s="38">
        <v>45910</v>
      </c>
      <c r="D10" s="38">
        <f>WORKDAY(C10,-4,'Holidays &amp; Calendar'!$A$2:$A$46)</f>
        <v>45904</v>
      </c>
      <c r="E10" s="38">
        <f>WORKDAY(C10,-2,'Holidays &amp; Calendar'!$A$2:$A$46)</f>
        <v>45908</v>
      </c>
      <c r="F10" s="38">
        <f>WORKDAY(C10,-1,'Holidays &amp; Calendar'!$A$2:$A$46)</f>
        <v>45909</v>
      </c>
    </row>
    <row r="11" spans="1:6" ht="12.75" customHeight="1" x14ac:dyDescent="0.15">
      <c r="A11" s="36" t="s">
        <v>142</v>
      </c>
      <c r="B11" s="37">
        <v>46266</v>
      </c>
      <c r="C11" s="76">
        <v>46307</v>
      </c>
      <c r="D11" s="38">
        <f>WORKDAY(C11,-4,'Holidays &amp; Calendar'!$A$2:$A$46)</f>
        <v>46301</v>
      </c>
      <c r="E11" s="38">
        <f>WORKDAY(C11,-2,'Holidays &amp; Calendar'!$A$2:$A$46)</f>
        <v>46303</v>
      </c>
      <c r="F11" s="38">
        <f>WORKDAY(C11,-1,'Holidays &amp; Calendar'!$A$2:$A$46)</f>
        <v>46304</v>
      </c>
    </row>
    <row r="12" spans="1:6" ht="12.75" customHeight="1" x14ac:dyDescent="0.15">
      <c r="A12" s="36" t="s">
        <v>142</v>
      </c>
      <c r="B12" s="37">
        <v>46296</v>
      </c>
      <c r="C12" s="38">
        <v>45971</v>
      </c>
      <c r="D12" s="38">
        <f>WORKDAY(C12,-4,'Holidays &amp; Calendar'!$A$2:$A$46)</f>
        <v>45965</v>
      </c>
      <c r="E12" s="38">
        <f>WORKDAY(C12,-2,'Holidays &amp; Calendar'!$A$2:$A$46)</f>
        <v>45967</v>
      </c>
      <c r="F12" s="38">
        <f>WORKDAY(C12,-1,'Holidays &amp; Calendar'!$A$2:$A$46)</f>
        <v>45968</v>
      </c>
    </row>
    <row r="13" spans="1:6" ht="12.75" customHeight="1" x14ac:dyDescent="0.15">
      <c r="A13" s="36" t="s">
        <v>142</v>
      </c>
      <c r="B13" s="37">
        <v>46327</v>
      </c>
      <c r="C13" s="38">
        <v>46001</v>
      </c>
      <c r="D13" s="38">
        <f>WORKDAY(C13,-4,'Holidays &amp; Calendar'!$A$2:$A$46)</f>
        <v>45994</v>
      </c>
      <c r="E13" s="38">
        <f>WORKDAY(C13,-2,'Holidays &amp; Calendar'!$A$2:$A$46)</f>
        <v>45996</v>
      </c>
      <c r="F13" s="38">
        <f>WORKDAY(C13,-1,'Holidays &amp; Calendar'!$A$2:$A$46)</f>
        <v>46000</v>
      </c>
    </row>
    <row r="14" spans="1:6" ht="12.75" customHeight="1" x14ac:dyDescent="0.15">
      <c r="A14" s="36" t="s">
        <v>143</v>
      </c>
      <c r="B14" s="41" t="s">
        <v>144</v>
      </c>
      <c r="C14" s="38">
        <v>45687</v>
      </c>
      <c r="D14" s="38">
        <f>WORKDAY(C14,-4,'Holidays &amp; Calendar'!$A$2:$A$46)</f>
        <v>45681</v>
      </c>
      <c r="E14" s="38">
        <f>WORKDAY(C14,-2,'Holidays &amp; Calendar'!$A$2:$A$46)</f>
        <v>45685</v>
      </c>
      <c r="F14" s="38">
        <f>WORKDAY(C14,-1,'Holidays &amp; Calendar'!$A$2:$A$46)</f>
        <v>45686</v>
      </c>
    </row>
    <row r="15" spans="1:6" ht="12.75" customHeight="1" x14ac:dyDescent="0.15">
      <c r="A15" s="36" t="s">
        <v>145</v>
      </c>
      <c r="B15" s="41" t="s">
        <v>146</v>
      </c>
      <c r="C15" s="38">
        <v>45762</v>
      </c>
      <c r="D15" s="38">
        <f>WORKDAY(C15,-4,'Holidays &amp; Calendar'!$A$2:$A$46)</f>
        <v>45756</v>
      </c>
      <c r="E15" s="38">
        <f>WORKDAY(C15,-2,'Holidays &amp; Calendar'!$A$2:$A$46)</f>
        <v>45758</v>
      </c>
      <c r="F15" s="38">
        <f>WORKDAY(C15,-1,'Holidays &amp; Calendar'!$A$2:$A$46)</f>
        <v>45761</v>
      </c>
    </row>
    <row r="16" spans="1:6" ht="12.75" customHeight="1" x14ac:dyDescent="0.15">
      <c r="A16" s="36" t="s">
        <v>147</v>
      </c>
      <c r="B16" s="41" t="s">
        <v>148</v>
      </c>
      <c r="C16" s="76">
        <v>46139</v>
      </c>
      <c r="D16" s="38">
        <f>WORKDAY(C16,-4,'Holidays &amp; Calendar'!$A$2:$A$46)</f>
        <v>46133</v>
      </c>
      <c r="E16" s="38">
        <f>WORKDAY(C16,-2,'Holidays &amp; Calendar'!$A$2:$A$46)</f>
        <v>46135</v>
      </c>
      <c r="F16" s="38">
        <f>WORKDAY(C16,-1,'Holidays &amp; Calendar'!$A$2:$A$46)</f>
        <v>46136</v>
      </c>
    </row>
    <row r="17" spans="1:6" ht="12.75" customHeight="1" x14ac:dyDescent="0.15">
      <c r="A17" s="36" t="s">
        <v>143</v>
      </c>
      <c r="B17" s="41" t="s">
        <v>148</v>
      </c>
      <c r="C17" s="38">
        <v>45777</v>
      </c>
      <c r="D17" s="38">
        <f>WORKDAY(C17,-4,'Holidays &amp; Calendar'!$A$2:$A$46)</f>
        <v>45771</v>
      </c>
      <c r="E17" s="38">
        <f>WORKDAY(C17,-2,'Holidays &amp; Calendar'!$A$2:$A$46)</f>
        <v>45775</v>
      </c>
      <c r="F17" s="38">
        <f>WORKDAY(C17,-1,'Holidays &amp; Calendar'!$A$2:$A$46)</f>
        <v>45776</v>
      </c>
    </row>
    <row r="18" spans="1:6" ht="12.75" customHeight="1" x14ac:dyDescent="0.15">
      <c r="A18" s="36" t="s">
        <v>147</v>
      </c>
      <c r="B18" s="41" t="s">
        <v>149</v>
      </c>
      <c r="C18" s="76">
        <v>46230</v>
      </c>
      <c r="D18" s="38">
        <f>WORKDAY(C18,-4,'Holidays &amp; Calendar'!$A$2:$A$46)</f>
        <v>46224</v>
      </c>
      <c r="E18" s="38">
        <f>WORKDAY(C18,-2,'Holidays &amp; Calendar'!$A$2:$A$46)</f>
        <v>46226</v>
      </c>
      <c r="F18" s="38">
        <f>WORKDAY(C18,-1,'Holidays &amp; Calendar'!$A$2:$A$46)</f>
        <v>46227</v>
      </c>
    </row>
    <row r="19" spans="1:6" ht="12.75" customHeight="1" x14ac:dyDescent="0.15">
      <c r="A19" s="36" t="s">
        <v>150</v>
      </c>
      <c r="B19" s="41" t="s">
        <v>149</v>
      </c>
      <c r="C19" s="39">
        <v>45807</v>
      </c>
      <c r="D19" s="39">
        <f>WORKDAY(C19,-4,'Holidays &amp; Calendar'!$A$2:$A$46)</f>
        <v>45803</v>
      </c>
      <c r="E19" s="39">
        <f>WORKDAY(C19,-2,'Holidays &amp; Calendar'!$A$2:$A$46)</f>
        <v>45805</v>
      </c>
      <c r="F19" s="39">
        <f>WORKDAY(C19,-1,'Holidays &amp; Calendar'!$A$2:$A$46)</f>
        <v>45806</v>
      </c>
    </row>
    <row r="20" spans="1:6" ht="12.75" customHeight="1" x14ac:dyDescent="0.15">
      <c r="A20" s="36" t="s">
        <v>143</v>
      </c>
      <c r="B20" s="41" t="s">
        <v>149</v>
      </c>
      <c r="C20" s="38">
        <v>45869</v>
      </c>
      <c r="D20" s="38">
        <f>WORKDAY(C20,-4,'Holidays &amp; Calendar'!$A$2:$A$46)</f>
        <v>45863</v>
      </c>
      <c r="E20" s="38">
        <f>WORKDAY(C20,-2,'Holidays &amp; Calendar'!$A$2:$A$46)</f>
        <v>45867</v>
      </c>
      <c r="F20" s="38">
        <f>WORKDAY(C20,-1,'Holidays &amp; Calendar'!$A$2:$A$46)</f>
        <v>45868</v>
      </c>
    </row>
    <row r="21" spans="1:6" ht="12.75" customHeight="1" x14ac:dyDescent="0.15">
      <c r="A21" s="36" t="s">
        <v>147</v>
      </c>
      <c r="B21" s="41" t="s">
        <v>151</v>
      </c>
      <c r="C21" s="76">
        <v>46321</v>
      </c>
      <c r="D21" s="38">
        <f>WORKDAY(C21,-4,'Holidays &amp; Calendar'!$A$2:$A$46)</f>
        <v>46315</v>
      </c>
      <c r="E21" s="38">
        <f>WORKDAY(C21,-2,'Holidays &amp; Calendar'!$A$2:$A$46)</f>
        <v>46317</v>
      </c>
      <c r="F21" s="38">
        <f>WORKDAY(C21,-1,'Holidays &amp; Calendar'!$A$2:$A$46)</f>
        <v>46318</v>
      </c>
    </row>
    <row r="22" spans="1:6" ht="12.75" customHeight="1" x14ac:dyDescent="0.15">
      <c r="A22" s="36" t="s">
        <v>150</v>
      </c>
      <c r="B22" s="41" t="s">
        <v>151</v>
      </c>
      <c r="C22" s="38">
        <v>45898</v>
      </c>
      <c r="D22" s="38">
        <f>WORKDAY(C22,-4,'Holidays &amp; Calendar'!$A$2:$A$46)</f>
        <v>45894</v>
      </c>
      <c r="E22" s="38">
        <f>WORKDAY(C22,-2,'Holidays &amp; Calendar'!$A$2:$A$46)</f>
        <v>45896</v>
      </c>
      <c r="F22" s="38">
        <f>WORKDAY(C22,-1,'Holidays &amp; Calendar'!$A$2:$A$46)</f>
        <v>45897</v>
      </c>
    </row>
    <row r="23" spans="1:6" ht="12.75" customHeight="1" x14ac:dyDescent="0.15">
      <c r="A23" s="36" t="s">
        <v>143</v>
      </c>
      <c r="B23" s="41" t="s">
        <v>151</v>
      </c>
      <c r="C23" s="38">
        <v>45960</v>
      </c>
      <c r="D23" s="38">
        <f>WORKDAY(C23,-4,'Holidays &amp; Calendar'!$A$2:$A$46)</f>
        <v>45954</v>
      </c>
      <c r="E23" s="38">
        <f>WORKDAY(C23,-2,'Holidays &amp; Calendar'!$A$2:$A$46)</f>
        <v>45958</v>
      </c>
      <c r="F23" s="38">
        <f>WORKDAY(C23,-1,'Holidays &amp; Calendar'!$A$2:$A$46)</f>
        <v>45959</v>
      </c>
    </row>
    <row r="24" spans="1:6" ht="12.75" customHeight="1" x14ac:dyDescent="0.15">
      <c r="C24" s="42"/>
      <c r="D24" s="43"/>
      <c r="E24" s="43"/>
      <c r="F24" s="43"/>
    </row>
    <row r="25" spans="1:6" ht="12.75" customHeight="1" x14ac:dyDescent="0.15">
      <c r="A25" s="31"/>
    </row>
    <row r="26" spans="1:6" ht="12.75" customHeight="1" x14ac:dyDescent="0.15">
      <c r="A26" s="44" t="s">
        <v>152</v>
      </c>
      <c r="B26" s="45" t="s">
        <v>153</v>
      </c>
      <c r="C26" s="44" t="s">
        <v>154</v>
      </c>
      <c r="D26" s="44" t="s">
        <v>155</v>
      </c>
      <c r="F26" s="65" t="s">
        <v>172</v>
      </c>
    </row>
    <row r="27" spans="1:6" ht="12.75" customHeight="1" x14ac:dyDescent="0.15">
      <c r="A27" s="46" t="s">
        <v>156</v>
      </c>
      <c r="B27" s="47" t="s">
        <v>157</v>
      </c>
      <c r="C27" s="47" t="s">
        <v>158</v>
      </c>
      <c r="D27" s="47" t="s">
        <v>159</v>
      </c>
      <c r="E27" s="32" t="s">
        <v>23</v>
      </c>
      <c r="F27" s="66" t="s">
        <v>180</v>
      </c>
    </row>
    <row r="28" spans="1:6" ht="12.75" customHeight="1" x14ac:dyDescent="0.15">
      <c r="A28" s="46" t="s">
        <v>160</v>
      </c>
      <c r="B28" s="47" t="s">
        <v>161</v>
      </c>
      <c r="C28" s="47" t="s">
        <v>162</v>
      </c>
      <c r="D28" s="47" t="s">
        <v>163</v>
      </c>
      <c r="E28" s="32" t="s">
        <v>8</v>
      </c>
      <c r="F28" s="66" t="s">
        <v>173</v>
      </c>
    </row>
    <row r="29" spans="1:6" ht="12.75" customHeight="1" x14ac:dyDescent="0.15">
      <c r="A29" s="46" t="s">
        <v>164</v>
      </c>
      <c r="B29" s="47" t="s">
        <v>165</v>
      </c>
      <c r="C29" s="47" t="s">
        <v>166</v>
      </c>
      <c r="D29" s="47" t="s">
        <v>167</v>
      </c>
      <c r="E29" s="32" t="s">
        <v>11</v>
      </c>
      <c r="F29" s="66" t="s">
        <v>174</v>
      </c>
    </row>
    <row r="30" spans="1:6" ht="12.75" customHeight="1" x14ac:dyDescent="0.15">
      <c r="A30" s="46" t="s">
        <v>168</v>
      </c>
      <c r="B30" s="47" t="s">
        <v>169</v>
      </c>
      <c r="C30" s="47" t="s">
        <v>170</v>
      </c>
      <c r="D30" s="47" t="s">
        <v>159</v>
      </c>
      <c r="E30" s="32" t="s">
        <v>23</v>
      </c>
      <c r="F30" s="67" t="s">
        <v>180</v>
      </c>
    </row>
    <row r="31" spans="1:6" ht="12.75" customHeight="1" x14ac:dyDescent="0.15"/>
    <row r="32" spans="1:6"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scale="77"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03BC8-C843-CC4B-95FC-022148E31B4E}">
  <sheetPr>
    <tabColor rgb="FFFF6B6B"/>
  </sheetPr>
  <dimension ref="A1:N51"/>
  <sheetViews>
    <sheetView tabSelected="1" topLeftCell="G13" workbookViewId="0">
      <selection activeCell="I13" sqref="I13"/>
    </sheetView>
  </sheetViews>
  <sheetFormatPr baseColWidth="10" defaultRowHeight="13" x14ac:dyDescent="0.15"/>
  <cols>
    <col min="1" max="1" width="8.1640625" bestFit="1" customWidth="1"/>
    <col min="2" max="2" width="29.6640625" bestFit="1" customWidth="1"/>
    <col min="3" max="3" width="17.33203125" bestFit="1" customWidth="1"/>
    <col min="5" max="5" width="55.5" bestFit="1" customWidth="1"/>
    <col min="6" max="6" width="32.83203125" bestFit="1" customWidth="1"/>
    <col min="7" max="7" width="26.83203125" bestFit="1" customWidth="1"/>
    <col min="9" max="9" width="34.83203125" bestFit="1" customWidth="1"/>
    <col min="10" max="10" width="60.83203125" bestFit="1" customWidth="1"/>
    <col min="11" max="11" width="29.1640625" bestFit="1" customWidth="1"/>
    <col min="12" max="12" width="11.6640625" bestFit="1" customWidth="1"/>
    <col min="13" max="13" width="13.33203125" bestFit="1" customWidth="1"/>
    <col min="14" max="14" width="14.6640625" bestFit="1" customWidth="1"/>
  </cols>
  <sheetData>
    <row r="1" spans="1:14" x14ac:dyDescent="0.15">
      <c r="A1" s="68" t="s">
        <v>171</v>
      </c>
      <c r="B1" s="68" t="s">
        <v>183</v>
      </c>
      <c r="C1" s="68" t="s">
        <v>184</v>
      </c>
      <c r="E1" s="69" t="s">
        <v>205</v>
      </c>
      <c r="F1" s="70"/>
      <c r="G1" s="70"/>
      <c r="H1" s="70"/>
      <c r="I1" s="82" t="s">
        <v>231</v>
      </c>
      <c r="J1" s="83"/>
      <c r="K1" s="83"/>
      <c r="L1" s="83"/>
      <c r="M1" s="83"/>
      <c r="N1" s="83"/>
    </row>
    <row r="2" spans="1:14" x14ac:dyDescent="0.15">
      <c r="A2" s="64">
        <v>45999</v>
      </c>
      <c r="B2" t="s">
        <v>185</v>
      </c>
      <c r="C2" t="s">
        <v>186</v>
      </c>
      <c r="E2" s="62" t="s">
        <v>206</v>
      </c>
      <c r="F2" s="71">
        <v>46037</v>
      </c>
      <c r="G2" s="72" t="s">
        <v>207</v>
      </c>
      <c r="I2" s="62" t="s">
        <v>232</v>
      </c>
      <c r="J2" s="101">
        <f ca="1">TODAY()</f>
        <v>46021</v>
      </c>
      <c r="K2" s="72"/>
    </row>
    <row r="3" spans="1:14" x14ac:dyDescent="0.15">
      <c r="A3" s="64">
        <v>46015</v>
      </c>
      <c r="B3" t="s">
        <v>187</v>
      </c>
      <c r="C3" t="s">
        <v>186</v>
      </c>
      <c r="E3" s="62" t="s">
        <v>208</v>
      </c>
      <c r="F3" s="73">
        <v>-4</v>
      </c>
      <c r="G3" s="72" t="s">
        <v>209</v>
      </c>
      <c r="I3" s="62" t="s">
        <v>233</v>
      </c>
      <c r="J3" s="107">
        <f ca="1">EOMONTH(TODAY(),-1)</f>
        <v>45991</v>
      </c>
      <c r="K3" s="72" t="s">
        <v>234</v>
      </c>
    </row>
    <row r="4" spans="1:14" x14ac:dyDescent="0.15">
      <c r="A4" s="64">
        <v>46016</v>
      </c>
      <c r="B4" t="s">
        <v>188</v>
      </c>
      <c r="C4" t="s">
        <v>189</v>
      </c>
      <c r="E4" s="62" t="s">
        <v>210</v>
      </c>
      <c r="F4">
        <f>WORKDAY(F2,F3,$A$2:$A$46)</f>
        <v>46031</v>
      </c>
      <c r="G4" s="72" t="s">
        <v>211</v>
      </c>
      <c r="I4" s="62" t="s">
        <v>235</v>
      </c>
      <c r="J4" s="101">
        <f ca="1">WORKDAY(EOMONTH(TODAY(),0),-1,$A$2:$A$46)</f>
        <v>46020</v>
      </c>
      <c r="K4" s="72" t="s">
        <v>236</v>
      </c>
    </row>
    <row r="5" spans="1:14" x14ac:dyDescent="0.15">
      <c r="A5" s="64">
        <v>46021</v>
      </c>
      <c r="B5" t="s">
        <v>190</v>
      </c>
      <c r="C5" t="s">
        <v>189</v>
      </c>
    </row>
    <row r="6" spans="1:14" ht="14" x14ac:dyDescent="0.2">
      <c r="A6" s="64">
        <v>46022</v>
      </c>
      <c r="B6" t="s">
        <v>191</v>
      </c>
      <c r="C6" t="s">
        <v>186</v>
      </c>
      <c r="E6" s="74" t="s">
        <v>212</v>
      </c>
      <c r="F6" s="80" t="s">
        <v>227</v>
      </c>
      <c r="G6" s="75"/>
      <c r="I6" s="84" t="s">
        <v>237</v>
      </c>
      <c r="J6" s="85"/>
      <c r="K6" s="85"/>
    </row>
    <row r="7" spans="1:14" ht="14" x14ac:dyDescent="0.2">
      <c r="A7" s="64">
        <v>46023</v>
      </c>
      <c r="B7" t="s">
        <v>192</v>
      </c>
      <c r="C7" t="s">
        <v>189</v>
      </c>
      <c r="E7" s="74" t="s">
        <v>213</v>
      </c>
      <c r="F7" s="80" t="s">
        <v>217</v>
      </c>
      <c r="G7" s="75"/>
      <c r="I7" s="84" t="s">
        <v>238</v>
      </c>
      <c r="J7" s="86">
        <v>2025</v>
      </c>
      <c r="K7" s="72" t="s">
        <v>239</v>
      </c>
    </row>
    <row r="8" spans="1:14" x14ac:dyDescent="0.15">
      <c r="A8" s="64">
        <v>46070</v>
      </c>
      <c r="B8" t="s">
        <v>193</v>
      </c>
      <c r="C8" t="s">
        <v>186</v>
      </c>
      <c r="I8" s="84" t="s">
        <v>233</v>
      </c>
      <c r="J8" s="86">
        <v>12</v>
      </c>
      <c r="K8" s="72" t="s">
        <v>240</v>
      </c>
    </row>
    <row r="9" spans="1:14" x14ac:dyDescent="0.15">
      <c r="A9" s="64">
        <v>46101</v>
      </c>
      <c r="B9" t="s">
        <v>215</v>
      </c>
      <c r="C9" t="s">
        <v>189</v>
      </c>
      <c r="E9" s="77" t="s">
        <v>218</v>
      </c>
      <c r="F9" s="77" t="s">
        <v>219</v>
      </c>
      <c r="G9" s="77" t="s">
        <v>220</v>
      </c>
      <c r="I9" s="84" t="s">
        <v>241</v>
      </c>
      <c r="J9" s="101">
        <f>EOMONTH(DATE(J7,J8,1),0)</f>
        <v>46022</v>
      </c>
      <c r="K9" s="72" t="s">
        <v>242</v>
      </c>
    </row>
    <row r="10" spans="1:14" ht="14" x14ac:dyDescent="0.2">
      <c r="A10" s="64">
        <v>46114</v>
      </c>
      <c r="B10" t="s">
        <v>194</v>
      </c>
      <c r="C10" t="s">
        <v>189</v>
      </c>
      <c r="E10" s="78" t="s">
        <v>221</v>
      </c>
      <c r="F10" s="81" t="s">
        <v>228</v>
      </c>
      <c r="G10" s="78" t="s">
        <v>222</v>
      </c>
      <c r="I10" s="84" t="s">
        <v>243</v>
      </c>
      <c r="J10" s="101">
        <f>WORKDAY(J9,-5,$A$2:$A$46)</f>
        <v>46010</v>
      </c>
      <c r="K10" s="72" t="s">
        <v>244</v>
      </c>
    </row>
    <row r="11" spans="1:14" ht="14" x14ac:dyDescent="0.2">
      <c r="A11" s="64">
        <v>46115</v>
      </c>
      <c r="B11" t="s">
        <v>195</v>
      </c>
      <c r="C11" t="s">
        <v>189</v>
      </c>
      <c r="E11" s="78" t="s">
        <v>223</v>
      </c>
      <c r="F11" s="81" t="s">
        <v>229</v>
      </c>
      <c r="G11" s="78" t="s">
        <v>224</v>
      </c>
      <c r="I11" s="84" t="s">
        <v>245</v>
      </c>
      <c r="J11" s="101">
        <f>WORKDAY(EOMONTH(J9,1),3,$A$2:$A$46)</f>
        <v>46057</v>
      </c>
      <c r="K11" s="72" t="s">
        <v>246</v>
      </c>
    </row>
    <row r="12" spans="1:14" ht="14" x14ac:dyDescent="0.2">
      <c r="A12" s="64">
        <v>46116</v>
      </c>
      <c r="B12" t="s">
        <v>196</v>
      </c>
      <c r="C12" t="s">
        <v>186</v>
      </c>
      <c r="E12" s="78" t="s">
        <v>225</v>
      </c>
      <c r="F12" s="81" t="s">
        <v>230</v>
      </c>
      <c r="G12" s="78" t="s">
        <v>226</v>
      </c>
    </row>
    <row r="13" spans="1:14" x14ac:dyDescent="0.15">
      <c r="A13" s="64">
        <v>46121</v>
      </c>
      <c r="B13" t="s">
        <v>197</v>
      </c>
      <c r="C13" t="s">
        <v>189</v>
      </c>
      <c r="I13" s="82" t="s">
        <v>1</v>
      </c>
      <c r="J13" s="82" t="s">
        <v>247</v>
      </c>
      <c r="K13" s="87" t="s">
        <v>248</v>
      </c>
      <c r="L13" s="88" t="s">
        <v>249</v>
      </c>
      <c r="M13" s="88" t="s">
        <v>250</v>
      </c>
      <c r="N13" s="88" t="s">
        <v>251</v>
      </c>
    </row>
    <row r="14" spans="1:14" x14ac:dyDescent="0.15">
      <c r="A14" s="64">
        <v>46143</v>
      </c>
      <c r="B14" t="s">
        <v>198</v>
      </c>
      <c r="C14" t="s">
        <v>189</v>
      </c>
      <c r="E14" s="79" t="s">
        <v>214</v>
      </c>
      <c r="I14" s="89" t="s">
        <v>84</v>
      </c>
      <c r="J14" s="90" t="s">
        <v>252</v>
      </c>
      <c r="K14" s="91">
        <v>-5</v>
      </c>
      <c r="L14" s="102">
        <f>WORKDAY($J$9,K14,$A$2:$A$46)</f>
        <v>46010</v>
      </c>
      <c r="M14" s="91" t="str">
        <f>TEXT(L14,"ddd")</f>
        <v>Fri</v>
      </c>
      <c r="N14" s="91" t="str">
        <f ca="1">IF(L14&lt;$J$2,"✓ Done",IF(L14=$J$2,"⚠ TODAY","Pending"))</f>
        <v>✓ Done</v>
      </c>
    </row>
    <row r="15" spans="1:14" x14ac:dyDescent="0.15">
      <c r="A15" s="64">
        <v>46169</v>
      </c>
      <c r="B15" t="s">
        <v>216</v>
      </c>
      <c r="C15" t="s">
        <v>189</v>
      </c>
      <c r="I15" s="90"/>
      <c r="J15" s="90" t="s">
        <v>90</v>
      </c>
      <c r="K15" s="91">
        <v>-4</v>
      </c>
      <c r="L15" s="102">
        <f>WORKDAY($J$9,K15,$A$2:$A$46)</f>
        <v>46013</v>
      </c>
      <c r="M15" s="91" t="str">
        <f>TEXT(L15,"ddd")</f>
        <v>Mon</v>
      </c>
      <c r="N15" s="91" t="str">
        <f ca="1">IF(L15&lt;$J$2,"✓ Done",IF(L15=$J$2,"⚠ TODAY","Pending"))</f>
        <v>✓ Done</v>
      </c>
    </row>
    <row r="16" spans="1:14" x14ac:dyDescent="0.15">
      <c r="A16" s="64">
        <v>46185</v>
      </c>
      <c r="B16" t="s">
        <v>199</v>
      </c>
      <c r="C16" t="s">
        <v>189</v>
      </c>
      <c r="I16" s="90"/>
      <c r="J16" s="90" t="s">
        <v>47</v>
      </c>
      <c r="K16" s="91">
        <v>-4</v>
      </c>
      <c r="L16" s="102">
        <f>WORKDAY($J$9,K16,$A$2:$A$46)</f>
        <v>46013</v>
      </c>
      <c r="M16" s="91" t="str">
        <f>TEXT(L16,"ddd")</f>
        <v>Mon</v>
      </c>
      <c r="N16" s="91" t="str">
        <f ca="1">IF(L16&lt;$J$2,"✓ Done",IF(L16=$J$2,"⚠ TODAY","Pending"))</f>
        <v>✓ Done</v>
      </c>
    </row>
    <row r="17" spans="1:14" x14ac:dyDescent="0.15">
      <c r="A17" s="64">
        <v>46255</v>
      </c>
      <c r="B17" t="s">
        <v>200</v>
      </c>
      <c r="C17" t="s">
        <v>186</v>
      </c>
      <c r="I17" s="74" t="s">
        <v>97</v>
      </c>
      <c r="J17" s="75" t="s">
        <v>253</v>
      </c>
      <c r="K17" s="92">
        <v>-3</v>
      </c>
      <c r="L17" s="103">
        <f>WORKDAY($J$9,K17,$A$2:$A$46)</f>
        <v>46014</v>
      </c>
      <c r="M17" s="92" t="str">
        <f>TEXT(L17,"ddd")</f>
        <v>Tue</v>
      </c>
      <c r="N17" s="92" t="str">
        <f ca="1">IF(L17&lt;$J$2,"✓ Done",IF(L17=$J$2,"⚠ TODAY","Pending"))</f>
        <v>✓ Done</v>
      </c>
    </row>
    <row r="18" spans="1:14" x14ac:dyDescent="0.15">
      <c r="A18" s="64">
        <v>46265</v>
      </c>
      <c r="B18" t="s">
        <v>201</v>
      </c>
      <c r="C18" t="s">
        <v>189</v>
      </c>
      <c r="I18" s="75"/>
      <c r="J18" s="75" t="s">
        <v>254</v>
      </c>
      <c r="K18" s="92">
        <v>-3</v>
      </c>
      <c r="L18" s="103">
        <f>WORKDAY($J$9,K18,$A$2:$A$46)</f>
        <v>46014</v>
      </c>
      <c r="M18" s="92" t="str">
        <f>TEXT(L18,"ddd")</f>
        <v>Tue</v>
      </c>
      <c r="N18" s="92" t="str">
        <f ca="1">IF(L18&lt;$J$2,"✓ Done",IF(L18=$J$2,"⚠ TODAY","Pending"))</f>
        <v>✓ Done</v>
      </c>
    </row>
    <row r="19" spans="1:14" x14ac:dyDescent="0.15">
      <c r="A19" s="64">
        <v>46327</v>
      </c>
      <c r="B19" t="s">
        <v>202</v>
      </c>
      <c r="C19" t="s">
        <v>186</v>
      </c>
      <c r="I19" s="75"/>
      <c r="J19" s="75" t="s">
        <v>255</v>
      </c>
      <c r="K19" s="92">
        <v>-2</v>
      </c>
      <c r="L19" s="103">
        <f>WORKDAY($J$9,K19,$A$2:$A$46)</f>
        <v>46017</v>
      </c>
      <c r="M19" s="92" t="str">
        <f>TEXT(L19,"ddd")</f>
        <v>Fri</v>
      </c>
      <c r="N19" s="92" t="str">
        <f ca="1">IF(L19&lt;$J$2,"✓ Done",IF(L19=$J$2,"⚠ TODAY","Pending"))</f>
        <v>✓ Done</v>
      </c>
    </row>
    <row r="20" spans="1:14" x14ac:dyDescent="0.15">
      <c r="A20" s="64">
        <v>46328</v>
      </c>
      <c r="B20" t="s">
        <v>203</v>
      </c>
      <c r="C20" t="s">
        <v>186</v>
      </c>
      <c r="I20" s="75"/>
      <c r="J20" s="75" t="s">
        <v>256</v>
      </c>
      <c r="K20" s="92">
        <v>-2</v>
      </c>
      <c r="L20" s="103">
        <f>WORKDAY($J$9,K20,$A$2:$A$46)</f>
        <v>46017</v>
      </c>
      <c r="M20" s="92" t="str">
        <f>TEXT(L20,"ddd")</f>
        <v>Fri</v>
      </c>
      <c r="N20" s="92" t="str">
        <f ca="1">IF(L20&lt;$J$2,"✓ Done",IF(L20=$J$2,"⚠ TODAY","Pending"))</f>
        <v>✓ Done</v>
      </c>
    </row>
    <row r="21" spans="1:14" x14ac:dyDescent="0.15">
      <c r="A21" s="64">
        <v>46356</v>
      </c>
      <c r="B21" t="s">
        <v>204</v>
      </c>
      <c r="C21" t="s">
        <v>189</v>
      </c>
      <c r="I21" s="75"/>
      <c r="J21" s="75" t="s">
        <v>257</v>
      </c>
      <c r="K21" s="92">
        <v>-2</v>
      </c>
      <c r="L21" s="103">
        <f>WORKDAY($J$9,K21,$A$2:$A$46)</f>
        <v>46017</v>
      </c>
      <c r="M21" s="92" t="str">
        <f>TEXT(L21,"ddd")</f>
        <v>Fri</v>
      </c>
      <c r="N21" s="92" t="str">
        <f ca="1">IF(L21&lt;$J$2,"✓ Done",IF(L21=$J$2,"⚠ TODAY","Pending"))</f>
        <v>✓ Done</v>
      </c>
    </row>
    <row r="22" spans="1:14" x14ac:dyDescent="0.15">
      <c r="A22" s="64">
        <v>46364</v>
      </c>
      <c r="B22" t="s">
        <v>185</v>
      </c>
      <c r="C22" t="s">
        <v>186</v>
      </c>
      <c r="I22" s="93" t="s">
        <v>258</v>
      </c>
      <c r="J22" s="94" t="s">
        <v>118</v>
      </c>
      <c r="K22" s="95">
        <v>-1</v>
      </c>
      <c r="L22" s="104">
        <f>WORKDAY($J$9,K22,$A$2:$A$46)</f>
        <v>46020</v>
      </c>
      <c r="M22" s="95" t="str">
        <f>TEXT(L22,"ddd")</f>
        <v>Mon</v>
      </c>
      <c r="N22" s="95" t="str">
        <f ca="1">IF(L22&lt;$J$2,"✓ Done",IF(L22=$J$2,"⚠ TODAY","Pending"))</f>
        <v>✓ Done</v>
      </c>
    </row>
    <row r="23" spans="1:14" x14ac:dyDescent="0.15">
      <c r="A23" s="64">
        <v>46380</v>
      </c>
      <c r="B23" t="s">
        <v>187</v>
      </c>
      <c r="C23" t="s">
        <v>186</v>
      </c>
      <c r="I23" s="94"/>
      <c r="J23" s="94" t="s">
        <v>259</v>
      </c>
      <c r="K23" s="95">
        <v>-1</v>
      </c>
      <c r="L23" s="104">
        <f>WORKDAY($J$9,K23,$A$2:$A$46)</f>
        <v>46020</v>
      </c>
      <c r="M23" s="95" t="str">
        <f>TEXT(L23,"ddd")</f>
        <v>Mon</v>
      </c>
      <c r="N23" s="95" t="str">
        <f ca="1">IF(L23&lt;$J$2,"✓ Done",IF(L23=$J$2,"⚠ TODAY","Pending"))</f>
        <v>✓ Done</v>
      </c>
    </row>
    <row r="24" spans="1:14" x14ac:dyDescent="0.15">
      <c r="A24" s="64">
        <v>46381</v>
      </c>
      <c r="B24" t="s">
        <v>188</v>
      </c>
      <c r="C24" t="s">
        <v>189</v>
      </c>
      <c r="I24" s="77" t="s">
        <v>260</v>
      </c>
      <c r="J24" s="78" t="s">
        <v>261</v>
      </c>
      <c r="K24" s="96">
        <v>0</v>
      </c>
      <c r="L24" s="105">
        <f>WORKDAY($J$9,K24,$A$2:$A$46)</f>
        <v>46022</v>
      </c>
      <c r="M24" s="96" t="str">
        <f>TEXT(L24,"ddd")</f>
        <v>Wed</v>
      </c>
      <c r="N24" s="96" t="str">
        <f ca="1">IF(L24&lt;$J$2,"✓ Done",IF(L24=$J$2,"⚠ TODAY","Pending"))</f>
        <v>Pending</v>
      </c>
    </row>
    <row r="25" spans="1:14" x14ac:dyDescent="0.15">
      <c r="A25" s="64">
        <v>46386</v>
      </c>
      <c r="B25" t="s">
        <v>190</v>
      </c>
      <c r="C25" t="s">
        <v>189</v>
      </c>
      <c r="I25" s="78"/>
      <c r="J25" s="78" t="s">
        <v>262</v>
      </c>
      <c r="K25" s="96">
        <v>1</v>
      </c>
      <c r="L25" s="105">
        <f>WORKDAY($J$9,K25,$A$2:$A$46)</f>
        <v>46024</v>
      </c>
      <c r="M25" s="96" t="str">
        <f>TEXT(L25,"ddd")</f>
        <v>Fri</v>
      </c>
      <c r="N25" s="96" t="str">
        <f ca="1">IF(L25&lt;$J$2,"✓ Done",IF(L25=$J$2,"⚠ TODAY","Pending"))</f>
        <v>Pending</v>
      </c>
    </row>
    <row r="26" spans="1:14" x14ac:dyDescent="0.15">
      <c r="A26" s="64">
        <v>46387</v>
      </c>
      <c r="B26" t="s">
        <v>191</v>
      </c>
      <c r="C26" t="s">
        <v>186</v>
      </c>
      <c r="I26" s="78"/>
      <c r="J26" s="78" t="s">
        <v>263</v>
      </c>
      <c r="K26" s="96">
        <v>2</v>
      </c>
      <c r="L26" s="105">
        <f>WORKDAY($J$9,K26,$A$2:$A$46)</f>
        <v>46027</v>
      </c>
      <c r="M26" s="96" t="str">
        <f>TEXT(L26,"ddd")</f>
        <v>Mon</v>
      </c>
      <c r="N26" s="96" t="str">
        <f ca="1">IF(L26&lt;$J$2,"✓ Done",IF(L26=$J$2,"⚠ TODAY","Pending"))</f>
        <v>Pending</v>
      </c>
    </row>
    <row r="27" spans="1:14" x14ac:dyDescent="0.15">
      <c r="A27" s="64">
        <v>46388</v>
      </c>
      <c r="B27" t="s">
        <v>192</v>
      </c>
      <c r="C27" t="s">
        <v>189</v>
      </c>
      <c r="I27" s="78"/>
      <c r="J27" s="78" t="s">
        <v>264</v>
      </c>
      <c r="K27" s="96">
        <v>3</v>
      </c>
      <c r="L27" s="105">
        <f>WORKDAY($J$9,K27,$A$2:$A$46)</f>
        <v>46028</v>
      </c>
      <c r="M27" s="96" t="str">
        <f>TEXT(L27,"ddd")</f>
        <v>Tue</v>
      </c>
      <c r="N27" s="96" t="str">
        <f ca="1">IF(L27&lt;$J$2,"✓ Done",IF(L27=$J$2,"⚠ TODAY","Pending"))</f>
        <v>Pending</v>
      </c>
    </row>
    <row r="28" spans="1:14" x14ac:dyDescent="0.15">
      <c r="A28" s="64">
        <v>46426</v>
      </c>
      <c r="B28" t="s">
        <v>193</v>
      </c>
      <c r="C28" t="s">
        <v>186</v>
      </c>
      <c r="I28" s="97" t="s">
        <v>265</v>
      </c>
      <c r="J28" s="98" t="s">
        <v>266</v>
      </c>
      <c r="K28" s="99">
        <v>4</v>
      </c>
      <c r="L28" s="106">
        <f>WORKDAY($J$9,K28,$A$2:$A$46)</f>
        <v>46029</v>
      </c>
      <c r="M28" s="99" t="str">
        <f>TEXT(L28,"ddd")</f>
        <v>Wed</v>
      </c>
      <c r="N28" s="99" t="str">
        <f ca="1">IF(L28&lt;$J$2,"✓ Done",IF(L28=$J$2,"⚠ TODAY","Pending"))</f>
        <v>Pending</v>
      </c>
    </row>
    <row r="29" spans="1:14" x14ac:dyDescent="0.15">
      <c r="A29" s="64">
        <v>46456</v>
      </c>
      <c r="B29" t="s">
        <v>215</v>
      </c>
      <c r="C29" t="s">
        <v>189</v>
      </c>
      <c r="I29" s="98"/>
      <c r="J29" s="98" t="s">
        <v>267</v>
      </c>
      <c r="K29" s="99">
        <v>5</v>
      </c>
      <c r="L29" s="106">
        <f>WORKDAY($J$9,K29,$A$2:$A$46)</f>
        <v>46030</v>
      </c>
      <c r="M29" s="99" t="str">
        <f>TEXT(L29,"ddd")</f>
        <v>Thu</v>
      </c>
      <c r="N29" s="99" t="str">
        <f ca="1">IF(L29&lt;$J$2,"✓ Done",IF(L29=$J$2,"⚠ TODAY","Pending"))</f>
        <v>Pending</v>
      </c>
    </row>
    <row r="30" spans="1:14" x14ac:dyDescent="0.15">
      <c r="A30" s="64">
        <v>46471</v>
      </c>
      <c r="B30" t="s">
        <v>194</v>
      </c>
      <c r="C30" t="s">
        <v>189</v>
      </c>
      <c r="I30" s="98"/>
      <c r="J30" s="98" t="s">
        <v>268</v>
      </c>
      <c r="K30" s="99">
        <v>6</v>
      </c>
      <c r="L30" s="106">
        <f>WORKDAY($J$9,K30,$A$2:$A$46)</f>
        <v>46031</v>
      </c>
      <c r="M30" s="99" t="str">
        <f>TEXT(L30,"ddd")</f>
        <v>Fri</v>
      </c>
      <c r="N30" s="99" t="str">
        <f ca="1">IF(L30&lt;$J$2,"✓ Done",IF(L30=$J$2,"⚠ TODAY","Pending"))</f>
        <v>Pending</v>
      </c>
    </row>
    <row r="31" spans="1:14" x14ac:dyDescent="0.15">
      <c r="A31" s="64">
        <v>46472</v>
      </c>
      <c r="B31" t="s">
        <v>195</v>
      </c>
      <c r="C31" t="s">
        <v>189</v>
      </c>
    </row>
    <row r="32" spans="1:14" x14ac:dyDescent="0.15">
      <c r="A32" s="64">
        <v>46473</v>
      </c>
      <c r="B32" t="s">
        <v>196</v>
      </c>
      <c r="C32" t="s">
        <v>186</v>
      </c>
      <c r="I32" s="69" t="s">
        <v>272</v>
      </c>
      <c r="J32" s="70"/>
      <c r="K32" s="70"/>
      <c r="L32" s="70"/>
      <c r="M32" s="70"/>
      <c r="N32" s="70"/>
    </row>
    <row r="33" spans="1:14" x14ac:dyDescent="0.15">
      <c r="A33" s="64">
        <v>46486</v>
      </c>
      <c r="B33" t="s">
        <v>197</v>
      </c>
      <c r="C33" t="s">
        <v>189</v>
      </c>
      <c r="I33" s="108" t="s">
        <v>135</v>
      </c>
      <c r="J33" s="109" t="s">
        <v>220</v>
      </c>
      <c r="K33" s="110" t="s">
        <v>273</v>
      </c>
      <c r="L33" s="110" t="s">
        <v>274</v>
      </c>
      <c r="M33" s="110" t="s">
        <v>275</v>
      </c>
      <c r="N33" s="110" t="s">
        <v>276</v>
      </c>
    </row>
    <row r="34" spans="1:14" x14ac:dyDescent="0.15">
      <c r="A34" s="64">
        <v>46508</v>
      </c>
      <c r="B34" t="s">
        <v>198</v>
      </c>
      <c r="C34" t="s">
        <v>189</v>
      </c>
      <c r="I34" s="111" t="s">
        <v>142</v>
      </c>
      <c r="J34" s="94" t="s">
        <v>277</v>
      </c>
      <c r="K34" s="116">
        <f>DATE(IF(J8=12,J7+1,J7),IF(J8=12,1,J8+1),10)</f>
        <v>46032</v>
      </c>
      <c r="L34" s="116">
        <f>WORKDAY(K34,-4,$A$2:$A$46)</f>
        <v>46028</v>
      </c>
      <c r="M34" s="116">
        <f>WORKDAY(K34,-2,$A$2:$A$46)</f>
        <v>46030</v>
      </c>
      <c r="N34" s="116">
        <f>WORKDAY(K34,-1,$A$2:$A$46)</f>
        <v>46031</v>
      </c>
    </row>
    <row r="35" spans="1:14" x14ac:dyDescent="0.15">
      <c r="A35" s="64">
        <v>46523</v>
      </c>
      <c r="B35" t="s">
        <v>216</v>
      </c>
      <c r="C35" t="s">
        <v>189</v>
      </c>
      <c r="I35" s="111" t="s">
        <v>278</v>
      </c>
      <c r="J35" s="94" t="s">
        <v>279</v>
      </c>
      <c r="K35" s="116">
        <f>DATE(IF(J8=12,J7+1,J7),IF(J8=12,1,J8+1),20)</f>
        <v>46042</v>
      </c>
      <c r="L35" s="116">
        <f>WORKDAY(K35,-4,$A$2:$A$46)</f>
        <v>46036</v>
      </c>
      <c r="M35" s="116">
        <f>WORKDAY(K35,-2,$A$2:$A$46)</f>
        <v>46038</v>
      </c>
      <c r="N35" s="116">
        <f>WORKDAY(K35,-1,$A$2:$A$46)</f>
        <v>46041</v>
      </c>
    </row>
    <row r="36" spans="1:14" x14ac:dyDescent="0.15">
      <c r="A36" s="64">
        <v>46550</v>
      </c>
      <c r="B36" t="s">
        <v>199</v>
      </c>
      <c r="C36" t="s">
        <v>189</v>
      </c>
      <c r="I36" s="94"/>
    </row>
    <row r="37" spans="1:14" x14ac:dyDescent="0.15">
      <c r="A37" s="64">
        <v>46620</v>
      </c>
      <c r="B37" t="s">
        <v>200</v>
      </c>
      <c r="C37" t="s">
        <v>186</v>
      </c>
      <c r="I37" s="112" t="s">
        <v>280</v>
      </c>
      <c r="J37" s="113"/>
      <c r="K37" s="113"/>
      <c r="L37" s="113"/>
      <c r="M37" s="113"/>
      <c r="N37" s="113"/>
    </row>
    <row r="38" spans="1:14" x14ac:dyDescent="0.15">
      <c r="A38" s="64">
        <v>46629</v>
      </c>
      <c r="B38" t="s">
        <v>201</v>
      </c>
      <c r="C38" t="s">
        <v>189</v>
      </c>
      <c r="I38" s="94" t="s">
        <v>281</v>
      </c>
      <c r="J38" s="94" t="s">
        <v>282</v>
      </c>
      <c r="K38" s="116">
        <f>IF(OR(J8=3,J8=6,J8=9,J8=12),EOMONTH(J9,1),"N/A")</f>
        <v>46053</v>
      </c>
      <c r="L38" s="116">
        <f>IF(K38="N/A","N/A",WORKDAY(K38,-4,$A$2:$A$46))</f>
        <v>46049</v>
      </c>
      <c r="M38" s="116">
        <f>IF(K38="N/A","N/A",WORKDAY(K38,-2,$A$2:$A$46))</f>
        <v>46051</v>
      </c>
      <c r="N38" s="116">
        <f>IF(K38="N/A","N/A",WORKDAY(K38,-1,$A$2:$A$46))</f>
        <v>46052</v>
      </c>
    </row>
    <row r="39" spans="1:14" x14ac:dyDescent="0.15">
      <c r="A39" s="64">
        <v>46692</v>
      </c>
      <c r="B39" t="s">
        <v>202</v>
      </c>
      <c r="C39" t="s">
        <v>186</v>
      </c>
      <c r="I39" s="94" t="s">
        <v>283</v>
      </c>
      <c r="J39" s="94" t="s">
        <v>284</v>
      </c>
      <c r="K39" s="116">
        <f>IF(OR(J8=3,J8=6,J8=9,J8=12),DATE(IF(J8=12,J7+1,J7),IF(J8=12,1,J8+1),25),"N/A")</f>
        <v>46047</v>
      </c>
      <c r="L39" s="116">
        <f>IF(K39="N/A","N/A",WORKDAY(K39,-4,$A$2:$A$46))</f>
        <v>46042</v>
      </c>
      <c r="M39" s="116">
        <f>IF(K39="N/A","N/A",WORKDAY(K39,-2,$A$2:$A$46))</f>
        <v>46044</v>
      </c>
      <c r="N39" s="116">
        <f>IF(K39="N/A","N/A",WORKDAY(K39,-1,$A$2:$A$46))</f>
        <v>46045</v>
      </c>
    </row>
    <row r="40" spans="1:14" x14ac:dyDescent="0.15">
      <c r="A40" s="64">
        <v>46693</v>
      </c>
      <c r="B40" t="s">
        <v>203</v>
      </c>
      <c r="C40" t="s">
        <v>186</v>
      </c>
      <c r="I40" s="94" t="s">
        <v>285</v>
      </c>
      <c r="J40" s="94" t="s">
        <v>286</v>
      </c>
      <c r="K40" s="116" t="str">
        <f>IF(OR(J8=3,J8=6,J8=9),DATE(J7,J8+2,15),"N/A")</f>
        <v>N/A</v>
      </c>
      <c r="L40" s="116" t="str">
        <f>IF(K40="N/A","N/A",WORKDAY(K40,-4,$A$2:$A$46))</f>
        <v>N/A</v>
      </c>
      <c r="M40" s="116" t="str">
        <f>IF(K40="N/A","N/A",WORKDAY(K40,-2,$A$2:$A$46))</f>
        <v>N/A</v>
      </c>
      <c r="N40" s="116" t="str">
        <f>IF(K40="N/A","N/A",WORKDAY(K40,-1,$A$2:$A$46))</f>
        <v>N/A</v>
      </c>
    </row>
    <row r="41" spans="1:14" x14ac:dyDescent="0.15">
      <c r="A41" s="64">
        <v>46721</v>
      </c>
      <c r="B41" t="s">
        <v>204</v>
      </c>
      <c r="C41" t="s">
        <v>189</v>
      </c>
      <c r="I41" s="94"/>
    </row>
    <row r="42" spans="1:14" x14ac:dyDescent="0.15">
      <c r="A42" s="64">
        <v>46729</v>
      </c>
      <c r="B42" t="s">
        <v>185</v>
      </c>
      <c r="C42" t="s">
        <v>186</v>
      </c>
      <c r="I42" s="112" t="s">
        <v>287</v>
      </c>
      <c r="J42" s="113"/>
      <c r="K42" s="113"/>
      <c r="L42" s="113"/>
      <c r="M42" s="113"/>
      <c r="N42" s="113"/>
    </row>
    <row r="43" spans="1:14" x14ac:dyDescent="0.15">
      <c r="A43" s="64">
        <v>46745</v>
      </c>
      <c r="B43" t="s">
        <v>187</v>
      </c>
      <c r="C43" t="s">
        <v>186</v>
      </c>
      <c r="I43" s="94" t="s">
        <v>288</v>
      </c>
      <c r="J43" s="94" t="s">
        <v>289</v>
      </c>
      <c r="K43" s="116">
        <f>IF(J8=12,DATE(J7+1,4,15),"N/A")</f>
        <v>46127</v>
      </c>
      <c r="L43" s="116">
        <f>IF(K43="N/A","N/A",WORKDAY(K43,-4,$A$2:$A$46))</f>
        <v>46120</v>
      </c>
      <c r="M43" s="116">
        <f>IF(K43="N/A","N/A",WORKDAY(K43,-2,$A$2:$A$46))</f>
        <v>46125</v>
      </c>
      <c r="N43" s="116">
        <f>IF(K43="N/A","N/A",WORKDAY(K43,-1,$A$2:$A$46))</f>
        <v>46126</v>
      </c>
    </row>
    <row r="44" spans="1:14" x14ac:dyDescent="0.15">
      <c r="A44" s="64">
        <v>46746</v>
      </c>
      <c r="B44" t="s">
        <v>188</v>
      </c>
      <c r="C44" t="s">
        <v>189</v>
      </c>
      <c r="I44" s="94" t="s">
        <v>290</v>
      </c>
      <c r="J44" s="94" t="s">
        <v>291</v>
      </c>
      <c r="K44" s="116">
        <f>IF(J8=12,DATE(J7+1,1,31),"N/A")</f>
        <v>46053</v>
      </c>
      <c r="L44" s="116">
        <f>IF(K44="N/A","N/A",WORKDAY(K44,-4,$A$2:$A$46))</f>
        <v>46049</v>
      </c>
      <c r="M44" s="116">
        <f>IF(K44="N/A","N/A",WORKDAY(K44,-2,$A$2:$A$46))</f>
        <v>46051</v>
      </c>
      <c r="N44" s="116">
        <f>IF(K44="N/A","N/A",WORKDAY(K44,-1,$A$2:$A$46))</f>
        <v>46052</v>
      </c>
    </row>
    <row r="45" spans="1:14" x14ac:dyDescent="0.15">
      <c r="A45" s="64">
        <v>46751</v>
      </c>
      <c r="B45" t="s">
        <v>190</v>
      </c>
      <c r="C45" t="s">
        <v>189</v>
      </c>
      <c r="I45" s="94" t="s">
        <v>292</v>
      </c>
      <c r="J45" s="94" t="s">
        <v>293</v>
      </c>
      <c r="K45" s="116">
        <f>IF(J8=12,DATE(J7+1,3,1),"N/A")</f>
        <v>46082</v>
      </c>
      <c r="L45" s="116">
        <f>IF(K45="N/A","N/A",WORKDAY(K45,-4,$A$2:$A$46))</f>
        <v>46077</v>
      </c>
      <c r="M45" s="116">
        <f>IF(K45="N/A","N/A",WORKDAY(K45,-2,$A$2:$A$46))</f>
        <v>46079</v>
      </c>
      <c r="N45" s="116">
        <f>IF(K45="N/A","N/A",WORKDAY(K45,-1,$A$2:$A$46))</f>
        <v>46080</v>
      </c>
    </row>
    <row r="46" spans="1:14" x14ac:dyDescent="0.15">
      <c r="A46" s="64">
        <v>46752</v>
      </c>
      <c r="B46" t="s">
        <v>191</v>
      </c>
      <c r="C46" t="s">
        <v>186</v>
      </c>
    </row>
    <row r="47" spans="1:14" x14ac:dyDescent="0.15">
      <c r="I47" s="93" t="s">
        <v>269</v>
      </c>
    </row>
    <row r="48" spans="1:14" x14ac:dyDescent="0.15">
      <c r="I48" s="111" t="s">
        <v>294</v>
      </c>
      <c r="J48" s="94" t="s">
        <v>295</v>
      </c>
    </row>
    <row r="49" spans="9:10" x14ac:dyDescent="0.15">
      <c r="I49" s="100" t="s">
        <v>296</v>
      </c>
      <c r="J49" s="94" t="s">
        <v>297</v>
      </c>
    </row>
    <row r="50" spans="9:10" x14ac:dyDescent="0.15">
      <c r="I50" s="100" t="s">
        <v>270</v>
      </c>
      <c r="J50" s="94" t="s">
        <v>298</v>
      </c>
    </row>
    <row r="51" spans="9:10" x14ac:dyDescent="0.15">
      <c r="I51" s="114" t="s">
        <v>271</v>
      </c>
      <c r="J51" s="115" t="s">
        <v>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Closing Task</vt:lpstr>
      <vt:lpstr>Closing Task - Gannt Chart</vt:lpstr>
      <vt:lpstr>Tax Filing</vt:lpstr>
      <vt:lpstr>Holidays &amp; Calendar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Jake Tolentino</cp:lastModifiedBy>
  <dcterms:created xsi:type="dcterms:W3CDTF">2025-12-29T22:40:45Z</dcterms:created>
  <dcterms:modified xsi:type="dcterms:W3CDTF">2025-12-29T22:40:45Z</dcterms:modified>
</cp:coreProperties>
</file>