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601-C" sheetId="1" state="visible" r:id="rId1"/>
    <sheet xmlns:r="http://schemas.openxmlformats.org/officeDocument/2006/relationships" name="eFPS Ready" sheetId="2" state="visible" r:id="rId2"/>
    <sheet xmlns:r="http://schemas.openxmlformats.org/officeDocument/2006/relationships" name="Schedule - Employees" sheetId="3" state="visible" r:id="rId3"/>
  </sheets>
  <definedNames>
    <definedName name="_xlnm.Print_Area" localSheetId="0">'1601-C'!$A$1:$G$65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color rgb="00FFFFFF"/>
      <sz val="8"/>
    </font>
    <font>
      <name val="Arial"/>
      <b val="1"/>
      <color rgb="00FFFFFF"/>
      <sz val="22"/>
    </font>
    <font>
      <name val="Arial"/>
      <b val="1"/>
      <sz val="11"/>
    </font>
    <font>
      <name val="Arial"/>
      <i val="1"/>
      <sz val="8"/>
    </font>
    <font>
      <name val="Arial"/>
      <sz val="8"/>
    </font>
    <font>
      <name val="Arial"/>
      <b val="1"/>
      <color rgb="00FFFFFF"/>
      <sz val="10"/>
    </font>
    <font>
      <name val="Arial"/>
      <b val="1"/>
      <sz val="8"/>
    </font>
    <font>
      <name val="Arial"/>
      <sz val="9"/>
    </font>
    <font>
      <name val="Arial"/>
      <b val="1"/>
      <sz val="9"/>
    </font>
    <font>
      <name val="Arial"/>
      <b val="1"/>
      <sz val="10"/>
    </font>
    <font>
      <name val="Arial"/>
      <b val="1"/>
      <color rgb="00CC0000"/>
      <sz val="12"/>
    </font>
    <font>
      <name val="Arial"/>
      <sz val="7"/>
    </font>
    <font>
      <name val="Arial"/>
      <b val="1"/>
      <sz val="14"/>
    </font>
    <font>
      <name val="Arial"/>
      <i val="1"/>
      <sz val="9"/>
    </font>
  </fonts>
  <fills count="6">
    <fill>
      <patternFill/>
    </fill>
    <fill>
      <patternFill patternType="gray125"/>
    </fill>
    <fill>
      <patternFill patternType="solid">
        <fgColor rgb="00003366"/>
        <bgColor rgb="00003366"/>
      </patternFill>
    </fill>
    <fill>
      <patternFill patternType="solid">
        <fgColor rgb="00D9E2F3"/>
        <bgColor rgb="00D9E2F3"/>
      </patternFill>
    </fill>
    <fill>
      <patternFill patternType="solid">
        <fgColor rgb="00FFFFCC"/>
        <bgColor rgb="00FFFFCC"/>
      </patternFill>
    </fill>
    <fill>
      <patternFill patternType="solid">
        <fgColor rgb="00F2F2F2"/>
        <bgColor rgb="00F2F2F2"/>
      </patternFill>
    </fill>
  </fills>
  <borders count="3">
    <border>
      <left/>
      <right/>
      <top/>
      <bottom/>
      <diagonal/>
    </border>
    <border>
      <left style="thin"/>
      <right style="thin"/>
      <top style="thin"/>
      <bottom style="thin"/>
    </border>
    <border>
      <bottom style="mediu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1" fillId="2" borderId="0" applyAlignment="1" pivotButton="0" quotePrefix="0" xfId="0">
      <alignment horizontal="right" vertical="bottom"/>
    </xf>
    <xf numFmtId="0" fontId="2" fillId="2" borderId="0" applyAlignment="1" pivotButton="0" quotePrefix="0" xfId="0">
      <alignment horizontal="right" vertical="top"/>
    </xf>
    <xf numFmtId="0" fontId="3" fillId="3" borderId="0" applyAlignment="1" pivotButton="0" quotePrefix="0" xfId="0">
      <alignment horizontal="center" vertical="center"/>
    </xf>
    <xf numFmtId="0" fontId="4" fillId="0" borderId="0" applyAlignment="1" pivotButton="0" quotePrefix="0" xfId="0">
      <alignment horizontal="center"/>
    </xf>
    <xf numFmtId="0" fontId="5" fillId="0" borderId="0" applyAlignment="1" pivotButton="0" quotePrefix="0" xfId="0">
      <alignment horizontal="center"/>
    </xf>
    <xf numFmtId="0" fontId="6" fillId="2"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vertical="center" wrapText="1"/>
    </xf>
    <xf numFmtId="0" fontId="0" fillId="4" borderId="1" applyAlignment="1" pivotButton="0" quotePrefix="0" xfId="0">
      <alignment horizontal="right" vertical="center"/>
    </xf>
    <xf numFmtId="0" fontId="9" fillId="0" borderId="0" pivotButton="0" quotePrefix="0" xfId="0"/>
    <xf numFmtId="4" fontId="0" fillId="4" borderId="1" applyAlignment="1" pivotButton="0" quotePrefix="0" xfId="0">
      <alignment horizontal="right" vertical="center"/>
    </xf>
    <xf numFmtId="4" fontId="0" fillId="5" borderId="1" applyAlignment="1" pivotButton="0" quotePrefix="0" xfId="0">
      <alignment horizontal="right" vertical="center"/>
    </xf>
    <xf numFmtId="0" fontId="10" fillId="0" borderId="0" applyAlignment="1" pivotButton="0" quotePrefix="0" xfId="0">
      <alignment vertical="center" wrapText="1"/>
    </xf>
    <xf numFmtId="4" fontId="11" fillId="5" borderId="1" applyAlignment="1" pivotButton="0" quotePrefix="0" xfId="0">
      <alignment horizontal="right" vertical="center"/>
    </xf>
    <xf numFmtId="0" fontId="9" fillId="3" borderId="0" pivotButton="0" quotePrefix="0" xfId="0"/>
    <xf numFmtId="0" fontId="12" fillId="0" borderId="0" applyAlignment="1" pivotButton="0" quotePrefix="0" xfId="0">
      <alignment wrapText="1"/>
    </xf>
    <xf numFmtId="0" fontId="8" fillId="0" borderId="0" applyAlignment="1" pivotButton="0" quotePrefix="0" xfId="0">
      <alignment wrapText="1"/>
    </xf>
    <xf numFmtId="0" fontId="0" fillId="0" borderId="2" pivotButton="0" quotePrefix="0" xfId="0"/>
    <xf numFmtId="0" fontId="13" fillId="0" borderId="0" pivotButton="0" quotePrefix="0" xfId="0"/>
    <xf numFmtId="0" fontId="14" fillId="0" borderId="0" pivotButton="0" quotePrefix="0" xfId="0"/>
    <xf numFmtId="0" fontId="10" fillId="0" borderId="0" pivotButton="0" quotePrefix="0" xfId="0"/>
    <xf numFmtId="4" fontId="0" fillId="0" borderId="1" pivotButton="0" quotePrefix="0" xfId="0"/>
    <xf numFmtId="4" fontId="11" fillId="0" borderId="1" pivotButton="0" quotePrefix="0" xfId="0"/>
    <xf numFmtId="0" fontId="6" fillId="2" borderId="1" applyAlignment="1" pivotButton="0" quotePrefix="0" xfId="0">
      <alignment horizontal="center"/>
    </xf>
    <xf numFmtId="49" fontId="0" fillId="4" borderId="1" pivotButton="0" quotePrefix="0" xfId="0"/>
    <xf numFmtId="4" fontId="0" fillId="4" borderId="1" pivotButton="0" quotePrefix="0" xfId="0"/>
    <xf numFmtId="4" fontId="0" fillId="5" borderId="1" pivotButton="0" quotePrefix="0" xfId="0"/>
    <xf numFmtId="4" fontId="1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4" customWidth="1" min="1" max="1"/>
    <col width="40" customWidth="1" min="2" max="2"/>
    <col width="5" customWidth="1" min="3" max="3"/>
    <col width="20" customWidth="1" min="4" max="4"/>
    <col width="5" customWidth="1" min="5" max="5"/>
    <col width="20" customWidth="1" min="6" max="6"/>
    <col width="4" customWidth="1" min="7" max="7"/>
  </cols>
  <sheetData>
    <row r="1">
      <c r="A1" s="1" t="inlineStr">
        <is>
          <t>Republic of the Philippines
Department of Finance
Bureau of Internal Revenue</t>
        </is>
      </c>
      <c r="C1" s="2" t="n"/>
      <c r="D1" s="3" t="inlineStr">
        <is>
          <t>BIR Form No.</t>
        </is>
      </c>
      <c r="G1" s="2" t="n"/>
    </row>
    <row r="2">
      <c r="C2" s="2" t="n"/>
      <c r="D2" s="4" t="inlineStr">
        <is>
          <t>1601-C</t>
        </is>
      </c>
      <c r="G2" s="2" t="n"/>
    </row>
    <row r="3" ht="30" customHeight="1">
      <c r="A3" s="5" t="inlineStr">
        <is>
          <t>Monthly Remittance Return of Income Taxes Withheld on Compensation</t>
        </is>
      </c>
    </row>
    <row r="4">
      <c r="A4" s="6" t="inlineStr">
        <is>
          <t>January 2018 (ENCS)</t>
        </is>
      </c>
    </row>
    <row r="5">
      <c r="A5" s="7" t="inlineStr">
        <is>
          <t>Fill in all applicable fields. All figures should be in Philippine Peso.</t>
        </is>
      </c>
    </row>
    <row r="7">
      <c r="A7" s="8" t="inlineStr">
        <is>
          <t>Part I — Background Information</t>
        </is>
      </c>
    </row>
    <row r="8">
      <c r="A8" s="9" t="inlineStr">
        <is>
          <t>1</t>
        </is>
      </c>
      <c r="B8" s="10" t="inlineStr">
        <is>
          <t>TIN</t>
        </is>
      </c>
      <c r="D8" s="11" t="n"/>
      <c r="E8" s="10" t="inlineStr"/>
    </row>
    <row r="9">
      <c r="A9" s="9" t="inlineStr">
        <is>
          <t>2</t>
        </is>
      </c>
      <c r="B9" s="10" t="inlineStr">
        <is>
          <t>RDO Code</t>
        </is>
      </c>
      <c r="D9" s="11" t="n"/>
    </row>
    <row r="10">
      <c r="A10" s="9" t="inlineStr">
        <is>
          <t>3</t>
        </is>
      </c>
      <c r="B10" s="10" t="inlineStr">
        <is>
          <t>Withholding Agent's Name</t>
        </is>
      </c>
      <c r="D10" s="11" t="n"/>
    </row>
    <row r="11">
      <c r="A11" s="9" t="inlineStr">
        <is>
          <t>4</t>
        </is>
      </c>
      <c r="B11" s="10" t="inlineStr">
        <is>
          <t>Registered Address</t>
        </is>
      </c>
      <c r="D11" s="11" t="n"/>
    </row>
    <row r="12">
      <c r="A12" s="9" t="inlineStr">
        <is>
          <t>5</t>
        </is>
      </c>
      <c r="B12" s="10" t="inlineStr">
        <is>
          <t>Zip Code</t>
        </is>
      </c>
      <c r="D12" s="11" t="n"/>
    </row>
    <row r="13">
      <c r="A13" s="9" t="inlineStr">
        <is>
          <t>6</t>
        </is>
      </c>
      <c r="B13" s="10" t="inlineStr">
        <is>
          <t>Category of Withholding Agent</t>
        </is>
      </c>
      <c r="D13" s="11" t="n"/>
    </row>
    <row r="14">
      <c r="A14" s="9" t="inlineStr">
        <is>
          <t>7</t>
        </is>
      </c>
      <c r="B14" s="10" t="inlineStr">
        <is>
          <t>For the Month (MM/YYYY)</t>
        </is>
      </c>
      <c r="D14" s="11" t="n"/>
    </row>
    <row r="15">
      <c r="A15" s="9" t="inlineStr">
        <is>
          <t>9</t>
        </is>
      </c>
      <c r="B15" s="10" t="inlineStr">
        <is>
          <t>Amendment? (Yes/No)</t>
        </is>
      </c>
      <c r="D15" s="11" t="n"/>
      <c r="E15" s="10" t="inlineStr">
        <is>
          <t>If Yes, Date</t>
        </is>
      </c>
      <c r="F15" s="11" t="n"/>
    </row>
    <row r="16">
      <c r="A16" s="9" t="inlineStr">
        <is>
          <t>10</t>
        </is>
      </c>
      <c r="B16" s="10" t="inlineStr">
        <is>
          <t>ATC</t>
        </is>
      </c>
      <c r="D16" s="11" t="inlineStr">
        <is>
          <t>WI010</t>
        </is>
      </c>
    </row>
    <row r="18">
      <c r="A18" s="8" t="inlineStr">
        <is>
          <t>Part II — Computation of Tax</t>
        </is>
      </c>
    </row>
    <row r="19">
      <c r="A19" s="12" t="inlineStr">
        <is>
          <t>A. Tax Remitted in Return Previously Filed, if this is an Amended Return</t>
        </is>
      </c>
    </row>
    <row r="20">
      <c r="A20" s="9" t="inlineStr">
        <is>
          <t>11</t>
        </is>
      </c>
      <c r="B20" s="10" t="inlineStr">
        <is>
          <t>Total Amount of Compensation</t>
        </is>
      </c>
      <c r="F20" s="13" t="n"/>
    </row>
    <row r="21">
      <c r="A21" s="9" t="inlineStr">
        <is>
          <t>12</t>
        </is>
      </c>
      <c r="B21" s="10" t="inlineStr">
        <is>
          <t>Exemptions/De Minimis/SSS/GSIS/PhilHealth/Pag-IBIG</t>
        </is>
      </c>
      <c r="F21" s="13" t="n"/>
    </row>
    <row r="22">
      <c r="A22" s="9" t="inlineStr">
        <is>
          <t>13</t>
        </is>
      </c>
      <c r="B22" s="10" t="inlineStr">
        <is>
          <t>Taxable Compensation (Item 11 less Item 12)</t>
        </is>
      </c>
      <c r="F22" s="14">
        <f>F20-F21</f>
        <v/>
      </c>
    </row>
    <row r="24">
      <c r="A24" s="12" t="inlineStr">
        <is>
          <t>B. Tax Required to be Withheld and Remitted this Period</t>
        </is>
      </c>
    </row>
    <row r="25">
      <c r="A25" s="9" t="inlineStr">
        <is>
          <t>14</t>
        </is>
      </c>
      <c r="B25" s="10" t="inlineStr">
        <is>
          <t>Taxes Withheld for the Month</t>
        </is>
      </c>
      <c r="F25" s="13" t="n"/>
    </row>
    <row r="26">
      <c r="A26" s="9" t="inlineStr">
        <is>
          <t>15</t>
        </is>
      </c>
      <c r="B26" s="10" t="inlineStr">
        <is>
          <t>Adjustment, if any (From previous month/s — Overremittance)</t>
        </is>
      </c>
      <c r="F26" s="13" t="n">
        <v>0</v>
      </c>
    </row>
    <row r="27">
      <c r="A27" s="9" t="inlineStr">
        <is>
          <t>16</t>
        </is>
      </c>
      <c r="B27" s="10" t="inlineStr">
        <is>
          <t>Adjustment, if any (From previous month/s — Underremittance)</t>
        </is>
      </c>
      <c r="F27" s="13" t="n">
        <v>0</v>
      </c>
    </row>
    <row r="28">
      <c r="A28" s="9" t="inlineStr">
        <is>
          <t>17</t>
        </is>
      </c>
      <c r="B28" s="15" t="inlineStr">
        <is>
          <t>Tax Still Due / (Overremittance) (Item 14 - 15 + 16)</t>
        </is>
      </c>
      <c r="F28" s="14">
        <f>F25-F26+F27</f>
        <v/>
      </c>
    </row>
    <row r="30">
      <c r="A30" s="12" t="inlineStr">
        <is>
          <t>C. Penalties</t>
        </is>
      </c>
    </row>
    <row r="31">
      <c r="A31" s="9" t="inlineStr">
        <is>
          <t>18</t>
        </is>
      </c>
      <c r="B31" s="10" t="inlineStr">
        <is>
          <t>Surcharge</t>
        </is>
      </c>
      <c r="F31" s="13" t="n">
        <v>0</v>
      </c>
    </row>
    <row r="32">
      <c r="A32" s="9" t="inlineStr">
        <is>
          <t>19</t>
        </is>
      </c>
      <c r="B32" s="10" t="inlineStr">
        <is>
          <t>Interest</t>
        </is>
      </c>
      <c r="F32" s="13" t="n">
        <v>0</v>
      </c>
    </row>
    <row r="33">
      <c r="A33" s="9" t="inlineStr">
        <is>
          <t>20</t>
        </is>
      </c>
      <c r="B33" s="10" t="inlineStr">
        <is>
          <t>Compromise</t>
        </is>
      </c>
      <c r="F33" s="13" t="n">
        <v>0</v>
      </c>
    </row>
    <row r="35" ht="25" customHeight="1">
      <c r="A35" s="9" t="inlineStr">
        <is>
          <t>21</t>
        </is>
      </c>
      <c r="B35" s="15" t="inlineStr">
        <is>
          <t>TOTAL AMOUNT STILL DUE / (Overremittance)</t>
        </is>
      </c>
      <c r="F35" s="16">
        <f>F28+F31+F32+F33</f>
        <v/>
      </c>
    </row>
    <row r="37">
      <c r="A37" s="8" t="inlineStr">
        <is>
          <t>Part III — Details of Payment</t>
        </is>
      </c>
    </row>
    <row r="38">
      <c r="A38" s="9" t="inlineStr">
        <is>
          <t>22</t>
        </is>
      </c>
      <c r="B38" s="10" t="inlineStr">
        <is>
          <t>Drawee Bank / Agency</t>
        </is>
      </c>
      <c r="D38" s="11" t="n"/>
    </row>
    <row r="39">
      <c r="A39" s="9" t="inlineStr">
        <is>
          <t>23</t>
        </is>
      </c>
      <c r="B39" s="10" t="inlineStr">
        <is>
          <t>Number</t>
        </is>
      </c>
      <c r="D39" s="11" t="n"/>
    </row>
    <row r="40">
      <c r="A40" s="9" t="inlineStr">
        <is>
          <t>24</t>
        </is>
      </c>
      <c r="B40" s="10" t="inlineStr">
        <is>
          <t>Date (MM/DD/YYYY)</t>
        </is>
      </c>
      <c r="D40" s="11" t="n"/>
    </row>
    <row r="41">
      <c r="A41" s="9" t="inlineStr">
        <is>
          <t>25</t>
        </is>
      </c>
      <c r="B41" s="10" t="inlineStr">
        <is>
          <t>Amount</t>
        </is>
      </c>
      <c r="D41" s="11" t="n"/>
    </row>
    <row r="43">
      <c r="A43" s="17" t="inlineStr">
        <is>
          <t>DECLARATION</t>
        </is>
      </c>
    </row>
    <row r="44" ht="35" customHeight="1">
      <c r="A44" s="18" t="inlineStr">
        <is>
          <t>I declare, under the penalties of perjury, that this return has been made in good faith, verified by me, and to the best of my knowledge and belief, is true and correct, pursuant to the provisions of the National Internal Revenue Code, as amended, and the regulations issued under authority thereof.</t>
        </is>
      </c>
    </row>
    <row r="46">
      <c r="B46" s="19" t="inlineStr">
        <is>
          <t>Signature over Printed Name of
Withholding Agent/Authorized Representative</t>
        </is>
      </c>
      <c r="D46" s="20" t="n"/>
    </row>
    <row r="47">
      <c r="B47" s="10" t="inlineStr">
        <is>
          <t>Title/Position</t>
        </is>
      </c>
      <c r="D47" s="20" t="n"/>
    </row>
    <row r="48">
      <c r="B48" s="10" t="inlineStr">
        <is>
          <t>TIN of Signatory</t>
        </is>
      </c>
      <c r="D48" s="11" t="n"/>
      <c r="E48" s="10" t="inlineStr">
        <is>
          <t>Date</t>
        </is>
      </c>
      <c r="F48" s="11" t="n"/>
    </row>
  </sheetData>
  <mergeCells count="18">
    <mergeCell ref="D2:F2"/>
    <mergeCell ref="A44:G44"/>
    <mergeCell ref="D11:F11"/>
    <mergeCell ref="A18:G18"/>
    <mergeCell ref="D47:F47"/>
    <mergeCell ref="A3:G3"/>
    <mergeCell ref="A37:G37"/>
    <mergeCell ref="D46:F46"/>
    <mergeCell ref="A4:G4"/>
    <mergeCell ref="A43:G43"/>
    <mergeCell ref="A24:G24"/>
    <mergeCell ref="A30:G30"/>
    <mergeCell ref="A7:G7"/>
    <mergeCell ref="A1:B2"/>
    <mergeCell ref="A19:G19"/>
    <mergeCell ref="D1:F1"/>
    <mergeCell ref="A5:G5"/>
    <mergeCell ref="D10:F10"/>
  </mergeCells>
  <pageMargins left="0.5" right="0.5" top="0.3" bottom="0.3" header="0.5" footer="0.5"/>
  <pageSetup orientation="portrait" paperSize="1" fitToHeight="1" fitToWidth="1"/>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5" customWidth="1" min="1" max="1"/>
    <col width="25" customWidth="1" min="2" max="2"/>
  </cols>
  <sheetData>
    <row r="1">
      <c r="A1" s="21" t="inlineStr">
        <is>
          <t>eFPS Filing Data — BIR 1601-C</t>
        </is>
      </c>
    </row>
    <row r="2">
      <c r="A2" s="22" t="inlineStr">
        <is>
          <t>Copy values below into eFPS portal fields</t>
        </is>
      </c>
    </row>
    <row r="4">
      <c r="A4" s="23" t="inlineStr">
        <is>
          <t>Form Type</t>
        </is>
      </c>
      <c r="B4" s="24" t="inlineStr">
        <is>
          <t>1601-C</t>
        </is>
      </c>
    </row>
    <row r="5">
      <c r="A5" s="23" t="inlineStr">
        <is>
          <t>TIN</t>
        </is>
      </c>
      <c r="B5" s="24">
        <f>'1601-C'!D8</f>
        <v/>
      </c>
    </row>
    <row r="6">
      <c r="A6" s="23" t="inlineStr">
        <is>
          <t>Return Period</t>
        </is>
      </c>
      <c r="B6" s="24">
        <f>'1601-C'!D14</f>
        <v/>
      </c>
    </row>
    <row r="7">
      <c r="A7" s="23" t="inlineStr">
        <is>
          <t>Total Compensation</t>
        </is>
      </c>
      <c r="B7" s="24">
        <f>'1601-C'!F20</f>
        <v/>
      </c>
    </row>
    <row r="8">
      <c r="A8" s="23" t="inlineStr">
        <is>
          <t>Exemptions/Deductions</t>
        </is>
      </c>
      <c r="B8" s="24">
        <f>'1601-C'!F21</f>
        <v/>
      </c>
    </row>
    <row r="9">
      <c r="A9" s="23" t="inlineStr">
        <is>
          <t>Taxable Compensation</t>
        </is>
      </c>
      <c r="B9" s="24">
        <f>'1601-C'!F22</f>
        <v/>
      </c>
    </row>
    <row r="10">
      <c r="A10" s="23" t="inlineStr">
        <is>
          <t>Taxes Withheld</t>
        </is>
      </c>
      <c r="B10" s="24">
        <f>'1601-C'!F25</f>
        <v/>
      </c>
    </row>
    <row r="11">
      <c r="A11" s="23" t="inlineStr">
        <is>
          <t>Over-remittance Adj</t>
        </is>
      </c>
      <c r="B11" s="24">
        <f>'1601-C'!F26</f>
        <v/>
      </c>
    </row>
    <row r="12">
      <c r="A12" s="23" t="inlineStr">
        <is>
          <t>Under-remittance Adj</t>
        </is>
      </c>
      <c r="B12" s="24">
        <f>'1601-C'!F27</f>
        <v/>
      </c>
    </row>
    <row r="13">
      <c r="A13" s="23" t="inlineStr">
        <is>
          <t>Tax Still Due</t>
        </is>
      </c>
      <c r="B13" s="24">
        <f>'1601-C'!F28</f>
        <v/>
      </c>
    </row>
    <row r="14">
      <c r="A14" s="23" t="inlineStr">
        <is>
          <t>Surcharge</t>
        </is>
      </c>
      <c r="B14" s="24">
        <f>'1601-C'!F31</f>
        <v/>
      </c>
    </row>
    <row r="15">
      <c r="A15" s="23" t="inlineStr">
        <is>
          <t>Interest</t>
        </is>
      </c>
      <c r="B15" s="24">
        <f>'1601-C'!F32</f>
        <v/>
      </c>
    </row>
    <row r="16">
      <c r="A16" s="23" t="inlineStr">
        <is>
          <t>Compromise</t>
        </is>
      </c>
      <c r="B16" s="24">
        <f>'1601-C'!F33</f>
        <v/>
      </c>
    </row>
    <row r="17">
      <c r="A17" s="23" t="inlineStr">
        <is>
          <t>TOTAL AMOUNT DUE</t>
        </is>
      </c>
      <c r="B17" s="25">
        <f>'1601-C'!F35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26" t="inlineStr">
        <is>
          <t>Employee Name</t>
        </is>
      </c>
      <c r="B1" s="26" t="inlineStr">
        <is>
          <t>TIN</t>
        </is>
      </c>
      <c r="C1" s="26" t="inlineStr">
        <is>
          <t>Monthly Basic</t>
        </is>
      </c>
      <c r="D1" s="26" t="inlineStr">
        <is>
          <t>SSS EE</t>
        </is>
      </c>
      <c r="E1" s="26" t="inlineStr">
        <is>
          <t>PhilHealth EE</t>
        </is>
      </c>
      <c r="F1" s="26" t="inlineStr">
        <is>
          <t>Pag-IBIG EE</t>
        </is>
      </c>
      <c r="G1" s="26" t="inlineStr">
        <is>
          <t>Taxable Comp</t>
        </is>
      </c>
      <c r="H1" s="26" t="inlineStr">
        <is>
          <t>WTax Due</t>
        </is>
      </c>
    </row>
    <row r="2">
      <c r="A2" s="27" t="n"/>
      <c r="B2" s="27" t="n"/>
      <c r="C2" s="28" t="n"/>
      <c r="D2" s="28" t="n"/>
      <c r="E2" s="28" t="n"/>
      <c r="F2" s="28" t="n"/>
      <c r="G2" s="29">
        <f>MAX(C2-D2-E2-F2,0)</f>
        <v/>
      </c>
      <c r="H2" s="29">
        <f>IF(G2&lt;=20833,0,IF(G2&lt;=33333,(G2-20833)*0.15,IF(G2&lt;=66667,1875+(G2-33333)*0.2,IF(G2&lt;=166667,8542+(G2-66667)*0.25,IF(G2&lt;=666667,33542+(G2-166667)*0.3,183542+(G2-666667)*0.35)))))</f>
        <v/>
      </c>
    </row>
    <row r="3">
      <c r="A3" s="27" t="n"/>
      <c r="B3" s="27" t="n"/>
      <c r="C3" s="28" t="n"/>
      <c r="D3" s="28" t="n"/>
      <c r="E3" s="28" t="n"/>
      <c r="F3" s="28" t="n"/>
      <c r="G3" s="29">
        <f>MAX(C3-D3-E3-F3,0)</f>
        <v/>
      </c>
      <c r="H3" s="29">
        <f>IF(G3&lt;=20833,0,IF(G3&lt;=33333,(G3-20833)*0.15,IF(G3&lt;=66667,1875+(G3-33333)*0.2,IF(G3&lt;=166667,8542+(G3-66667)*0.25,IF(G3&lt;=666667,33542+(G3-166667)*0.3,183542+(G3-666667)*0.35)))))</f>
        <v/>
      </c>
    </row>
    <row r="4">
      <c r="A4" s="27" t="n"/>
      <c r="B4" s="27" t="n"/>
      <c r="C4" s="28" t="n"/>
      <c r="D4" s="28" t="n"/>
      <c r="E4" s="28" t="n"/>
      <c r="F4" s="28" t="n"/>
      <c r="G4" s="29">
        <f>MAX(C4-D4-E4-F4,0)</f>
        <v/>
      </c>
      <c r="H4" s="29">
        <f>IF(G4&lt;=20833,0,IF(G4&lt;=33333,(G4-20833)*0.15,IF(G4&lt;=66667,1875+(G4-33333)*0.2,IF(G4&lt;=166667,8542+(G4-66667)*0.25,IF(G4&lt;=666667,33542+(G4-166667)*0.3,183542+(G4-666667)*0.35)))))</f>
        <v/>
      </c>
    </row>
    <row r="5">
      <c r="A5" s="27" t="n"/>
      <c r="B5" s="27" t="n"/>
      <c r="C5" s="28" t="n"/>
      <c r="D5" s="28" t="n"/>
      <c r="E5" s="28" t="n"/>
      <c r="F5" s="28" t="n"/>
      <c r="G5" s="29">
        <f>MAX(C5-D5-E5-F5,0)</f>
        <v/>
      </c>
      <c r="H5" s="29">
        <f>IF(G5&lt;=20833,0,IF(G5&lt;=33333,(G5-20833)*0.15,IF(G5&lt;=66667,1875+(G5-33333)*0.2,IF(G5&lt;=166667,8542+(G5-66667)*0.25,IF(G5&lt;=666667,33542+(G5-166667)*0.3,183542+(G5-666667)*0.35)))))</f>
        <v/>
      </c>
    </row>
    <row r="6">
      <c r="A6" s="27" t="n"/>
      <c r="B6" s="27" t="n"/>
      <c r="C6" s="28" t="n"/>
      <c r="D6" s="28" t="n"/>
      <c r="E6" s="28" t="n"/>
      <c r="F6" s="28" t="n"/>
      <c r="G6" s="29">
        <f>MAX(C6-D6-E6-F6,0)</f>
        <v/>
      </c>
      <c r="H6" s="29">
        <f>IF(G6&lt;=20833,0,IF(G6&lt;=33333,(G6-20833)*0.15,IF(G6&lt;=66667,1875+(G6-33333)*0.2,IF(G6&lt;=166667,8542+(G6-66667)*0.25,IF(G6&lt;=666667,33542+(G6-166667)*0.3,183542+(G6-666667)*0.35)))))</f>
        <v/>
      </c>
    </row>
    <row r="7">
      <c r="A7" s="27" t="n"/>
      <c r="B7" s="27" t="n"/>
      <c r="C7" s="28" t="n"/>
      <c r="D7" s="28" t="n"/>
      <c r="E7" s="28" t="n"/>
      <c r="F7" s="28" t="n"/>
      <c r="G7" s="29">
        <f>MAX(C7-D7-E7-F7,0)</f>
        <v/>
      </c>
      <c r="H7" s="29">
        <f>IF(G7&lt;=20833,0,IF(G7&lt;=33333,(G7-20833)*0.15,IF(G7&lt;=66667,1875+(G7-33333)*0.2,IF(G7&lt;=166667,8542+(G7-66667)*0.25,IF(G7&lt;=666667,33542+(G7-166667)*0.3,183542+(G7-666667)*0.35)))))</f>
        <v/>
      </c>
    </row>
    <row r="8">
      <c r="A8" s="27" t="n"/>
      <c r="B8" s="27" t="n"/>
      <c r="C8" s="28" t="n"/>
      <c r="D8" s="28" t="n"/>
      <c r="E8" s="28" t="n"/>
      <c r="F8" s="28" t="n"/>
      <c r="G8" s="29">
        <f>MAX(C8-D8-E8-F8,0)</f>
        <v/>
      </c>
      <c r="H8" s="29">
        <f>IF(G8&lt;=20833,0,IF(G8&lt;=33333,(G8-20833)*0.15,IF(G8&lt;=66667,1875+(G8-33333)*0.2,IF(G8&lt;=166667,8542+(G8-66667)*0.25,IF(G8&lt;=666667,33542+(G8-166667)*0.3,183542+(G8-666667)*0.35)))))</f>
        <v/>
      </c>
    </row>
    <row r="9">
      <c r="A9" s="27" t="n"/>
      <c r="B9" s="27" t="n"/>
      <c r="C9" s="28" t="n"/>
      <c r="D9" s="28" t="n"/>
      <c r="E9" s="28" t="n"/>
      <c r="F9" s="28" t="n"/>
      <c r="G9" s="29">
        <f>MAX(C9-D9-E9-F9,0)</f>
        <v/>
      </c>
      <c r="H9" s="29">
        <f>IF(G9&lt;=20833,0,IF(G9&lt;=33333,(G9-20833)*0.15,IF(G9&lt;=66667,1875+(G9-33333)*0.2,IF(G9&lt;=166667,8542+(G9-66667)*0.25,IF(G9&lt;=666667,33542+(G9-166667)*0.3,183542+(G9-666667)*0.35)))))</f>
        <v/>
      </c>
    </row>
    <row r="10">
      <c r="A10" s="27" t="n"/>
      <c r="B10" s="27" t="n"/>
      <c r="C10" s="28" t="n"/>
      <c r="D10" s="28" t="n"/>
      <c r="E10" s="28" t="n"/>
      <c r="F10" s="28" t="n"/>
      <c r="G10" s="29">
        <f>MAX(C10-D10-E10-F10,0)</f>
        <v/>
      </c>
      <c r="H10" s="29">
        <f>IF(G10&lt;=20833,0,IF(G10&lt;=33333,(G10-20833)*0.15,IF(G10&lt;=66667,1875+(G10-33333)*0.2,IF(G10&lt;=166667,8542+(G10-66667)*0.25,IF(G10&lt;=666667,33542+(G10-166667)*0.3,183542+(G10-666667)*0.35)))))</f>
        <v/>
      </c>
    </row>
    <row r="11">
      <c r="A11" s="27" t="n"/>
      <c r="B11" s="27" t="n"/>
      <c r="C11" s="28" t="n"/>
      <c r="D11" s="28" t="n"/>
      <c r="E11" s="28" t="n"/>
      <c r="F11" s="28" t="n"/>
      <c r="G11" s="29">
        <f>MAX(C11-D11-E11-F11,0)</f>
        <v/>
      </c>
      <c r="H11" s="29">
        <f>IF(G11&lt;=20833,0,IF(G11&lt;=33333,(G11-20833)*0.15,IF(G11&lt;=66667,1875+(G11-33333)*0.2,IF(G11&lt;=166667,8542+(G11-66667)*0.25,IF(G11&lt;=666667,33542+(G11-166667)*0.3,183542+(G11-666667)*0.35)))))</f>
        <v/>
      </c>
    </row>
    <row r="12">
      <c r="A12" s="27" t="n"/>
      <c r="B12" s="27" t="n"/>
      <c r="C12" s="28" t="n"/>
      <c r="D12" s="28" t="n"/>
      <c r="E12" s="28" t="n"/>
      <c r="F12" s="28" t="n"/>
      <c r="G12" s="29">
        <f>MAX(C12-D12-E12-F12,0)</f>
        <v/>
      </c>
      <c r="H12" s="29">
        <f>IF(G12&lt;=20833,0,IF(G12&lt;=33333,(G12-20833)*0.15,IF(G12&lt;=66667,1875+(G12-33333)*0.2,IF(G12&lt;=166667,8542+(G12-66667)*0.25,IF(G12&lt;=666667,33542+(G12-166667)*0.3,183542+(G12-666667)*0.35)))))</f>
        <v/>
      </c>
    </row>
    <row r="13">
      <c r="A13" s="27" t="n"/>
      <c r="B13" s="27" t="n"/>
      <c r="C13" s="28" t="n"/>
      <c r="D13" s="28" t="n"/>
      <c r="E13" s="28" t="n"/>
      <c r="F13" s="28" t="n"/>
      <c r="G13" s="29">
        <f>MAX(C13-D13-E13-F13,0)</f>
        <v/>
      </c>
      <c r="H13" s="29">
        <f>IF(G13&lt;=20833,0,IF(G13&lt;=33333,(G13-20833)*0.15,IF(G13&lt;=66667,1875+(G13-33333)*0.2,IF(G13&lt;=166667,8542+(G13-66667)*0.25,IF(G13&lt;=666667,33542+(G13-166667)*0.3,183542+(G13-666667)*0.35)))))</f>
        <v/>
      </c>
    </row>
    <row r="14">
      <c r="A14" s="27" t="n"/>
      <c r="B14" s="27" t="n"/>
      <c r="C14" s="28" t="n"/>
      <c r="D14" s="28" t="n"/>
      <c r="E14" s="28" t="n"/>
      <c r="F14" s="28" t="n"/>
      <c r="G14" s="29">
        <f>MAX(C14-D14-E14-F14,0)</f>
        <v/>
      </c>
      <c r="H14" s="29">
        <f>IF(G14&lt;=20833,0,IF(G14&lt;=33333,(G14-20833)*0.15,IF(G14&lt;=66667,1875+(G14-33333)*0.2,IF(G14&lt;=166667,8542+(G14-66667)*0.25,IF(G14&lt;=666667,33542+(G14-166667)*0.3,183542+(G14-666667)*0.35)))))</f>
        <v/>
      </c>
    </row>
    <row r="15">
      <c r="A15" s="27" t="n"/>
      <c r="B15" s="27" t="n"/>
      <c r="C15" s="28" t="n"/>
      <c r="D15" s="28" t="n"/>
      <c r="E15" s="28" t="n"/>
      <c r="F15" s="28" t="n"/>
      <c r="G15" s="29">
        <f>MAX(C15-D15-E15-F15,0)</f>
        <v/>
      </c>
      <c r="H15" s="29">
        <f>IF(G15&lt;=20833,0,IF(G15&lt;=33333,(G15-20833)*0.15,IF(G15&lt;=66667,1875+(G15-33333)*0.2,IF(G15&lt;=166667,8542+(G15-66667)*0.25,IF(G15&lt;=666667,33542+(G15-166667)*0.3,183542+(G15-666667)*0.35)))))</f>
        <v/>
      </c>
    </row>
    <row r="16">
      <c r="A16" s="27" t="n"/>
      <c r="B16" s="27" t="n"/>
      <c r="C16" s="28" t="n"/>
      <c r="D16" s="28" t="n"/>
      <c r="E16" s="28" t="n"/>
      <c r="F16" s="28" t="n"/>
      <c r="G16" s="29">
        <f>MAX(C16-D16-E16-F16,0)</f>
        <v/>
      </c>
      <c r="H16" s="29">
        <f>IF(G16&lt;=20833,0,IF(G16&lt;=33333,(G16-20833)*0.15,IF(G16&lt;=66667,1875+(G16-33333)*0.2,IF(G16&lt;=166667,8542+(G16-66667)*0.25,IF(G16&lt;=666667,33542+(G16-166667)*0.3,183542+(G16-666667)*0.35)))))</f>
        <v/>
      </c>
    </row>
    <row r="17">
      <c r="A17" s="27" t="n"/>
      <c r="B17" s="27" t="n"/>
      <c r="C17" s="28" t="n"/>
      <c r="D17" s="28" t="n"/>
      <c r="E17" s="28" t="n"/>
      <c r="F17" s="28" t="n"/>
      <c r="G17" s="29">
        <f>MAX(C17-D17-E17-F17,0)</f>
        <v/>
      </c>
      <c r="H17" s="29">
        <f>IF(G17&lt;=20833,0,IF(G17&lt;=33333,(G17-20833)*0.15,IF(G17&lt;=66667,1875+(G17-33333)*0.2,IF(G17&lt;=166667,8542+(G17-66667)*0.25,IF(G17&lt;=666667,33542+(G17-166667)*0.3,183542+(G17-666667)*0.35)))))</f>
        <v/>
      </c>
    </row>
    <row r="18">
      <c r="A18" s="27" t="n"/>
      <c r="B18" s="27" t="n"/>
      <c r="C18" s="28" t="n"/>
      <c r="D18" s="28" t="n"/>
      <c r="E18" s="28" t="n"/>
      <c r="F18" s="28" t="n"/>
      <c r="G18" s="29">
        <f>MAX(C18-D18-E18-F18,0)</f>
        <v/>
      </c>
      <c r="H18" s="29">
        <f>IF(G18&lt;=20833,0,IF(G18&lt;=33333,(G18-20833)*0.15,IF(G18&lt;=66667,1875+(G18-33333)*0.2,IF(G18&lt;=166667,8542+(G18-66667)*0.25,IF(G18&lt;=666667,33542+(G18-166667)*0.3,183542+(G18-666667)*0.35)))))</f>
        <v/>
      </c>
    </row>
    <row r="19">
      <c r="A19" s="27" t="n"/>
      <c r="B19" s="27" t="n"/>
      <c r="C19" s="28" t="n"/>
      <c r="D19" s="28" t="n"/>
      <c r="E19" s="28" t="n"/>
      <c r="F19" s="28" t="n"/>
      <c r="G19" s="29">
        <f>MAX(C19-D19-E19-F19,0)</f>
        <v/>
      </c>
      <c r="H19" s="29">
        <f>IF(G19&lt;=20833,0,IF(G19&lt;=33333,(G19-20833)*0.15,IF(G19&lt;=66667,1875+(G19-33333)*0.2,IF(G19&lt;=166667,8542+(G19-66667)*0.25,IF(G19&lt;=666667,33542+(G19-166667)*0.3,183542+(G19-666667)*0.35)))))</f>
        <v/>
      </c>
    </row>
    <row r="20">
      <c r="A20" s="27" t="n"/>
      <c r="B20" s="27" t="n"/>
      <c r="C20" s="28" t="n"/>
      <c r="D20" s="28" t="n"/>
      <c r="E20" s="28" t="n"/>
      <c r="F20" s="28" t="n"/>
      <c r="G20" s="29">
        <f>MAX(C20-D20-E20-F20,0)</f>
        <v/>
      </c>
      <c r="H20" s="29">
        <f>IF(G20&lt;=20833,0,IF(G20&lt;=33333,(G20-20833)*0.15,IF(G20&lt;=66667,1875+(G20-33333)*0.2,IF(G20&lt;=166667,8542+(G20-66667)*0.25,IF(G20&lt;=666667,33542+(G20-166667)*0.3,183542+(G20-666667)*0.35)))))</f>
        <v/>
      </c>
    </row>
    <row r="21">
      <c r="A21" s="27" t="n"/>
      <c r="B21" s="27" t="n"/>
      <c r="C21" s="28" t="n"/>
      <c r="D21" s="28" t="n"/>
      <c r="E21" s="28" t="n"/>
      <c r="F21" s="28" t="n"/>
      <c r="G21" s="29">
        <f>MAX(C21-D21-E21-F21,0)</f>
        <v/>
      </c>
      <c r="H21" s="29">
        <f>IF(G21&lt;=20833,0,IF(G21&lt;=33333,(G21-20833)*0.15,IF(G21&lt;=66667,1875+(G21-33333)*0.2,IF(G21&lt;=166667,8542+(G21-66667)*0.25,IF(G21&lt;=666667,33542+(G21-166667)*0.3,183542+(G21-666667)*0.35)))))</f>
        <v/>
      </c>
    </row>
    <row r="22">
      <c r="A22" s="23" t="inlineStr">
        <is>
          <t>TOTALS</t>
        </is>
      </c>
      <c r="C22" s="30">
        <f>SUM(C2:C21)</f>
        <v/>
      </c>
      <c r="D22" s="30">
        <f>SUM(D2:D21)</f>
        <v/>
      </c>
      <c r="E22" s="30">
        <f>SUM(E2:E21)</f>
        <v/>
      </c>
      <c r="F22" s="30">
        <f>SUM(F2:F21)</f>
        <v/>
      </c>
      <c r="G22" s="30">
        <f>SUM(G2:G21)</f>
        <v/>
      </c>
      <c r="H22" s="30">
        <f>SUM(H2:H21)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2026-03-16T19:37:51Z</dcterms:created>
  <dcterms:modified xmlns:dcterms="http://purl.org/dc/terms/" xmlns:xsi="http://www.w3.org/2001/XMLSchema-instance" xsi:type="dcterms:W3CDTF">2026-03-16T19:37:51Z</dcterms:modified>
</cp:coreProperties>
</file>