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211b6a0ce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OKRs" sheetId="1" r:id="R910362fc51e04e0b"/>
    <x:sheet xmlns:r="http://schemas.openxmlformats.org/officeDocument/2006/relationships" name="Skill Matrix" sheetId="2" r:id="R898bd63be9d84db0"/>
    <x:sheet xmlns:r="http://schemas.openxmlformats.org/officeDocument/2006/relationships" name="Roadmap" sheetId="3" r:id="R05e9cb92c0f2451e"/>
    <x:sheet xmlns:r="http://schemas.openxmlformats.org/officeDocument/2006/relationships" name="Quality Gates" sheetId="4" r:id="Rd98a0c3ec3e248c2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D12" authorId="0">
      <x:text>
        <x:r>
          <x:t>Current objective score input. Source: Pulser rollout business case / office skill KPI baseline.</x:t>
        </x:r>
      </x:text>
    </x:comment>
    <x:comment ref="D22" authorId="0">
      <x:text>
        <x:r>
          <x:t>Current count of active release-governance assets in Foundry.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6" authorId="0">
      <x:text>
        <x:r>
          <x:t>Governance source reference: https://academy.openai.com/public/clubs/work-users-ynjqu/resources/finserv
FinOps source reference: Azure AI Foundry adoption companion and e-book.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9">
    <x:font>
      <x:sz val="11"/>
      <x:color theme="1"/>
      <x:name val="Calibri"/>
      <x:family val="2"/>
      <x:scheme val="minor"/>
    </x:font>
    <x:font>
      <x:b/>
      <x:sz val="19"/>
      <x:color rgb="002F2963"/>
      <x:name val="Aptos"/>
    </x:font>
    <x:font>
      <x:sz val="11"/>
      <x:color rgb="005646A8"/>
      <x:name val="Aptos"/>
    </x:font>
    <x:font>
      <x:b/>
      <x:sz val="10"/>
      <x:color rgb="002F2963"/>
      <x:name val="Aptos"/>
    </x:font>
    <x:font>
      <x:b/>
      <x:sz val="18"/>
      <x:color rgb="002F2963"/>
      <x:name val="Aptos"/>
    </x:font>
    <x:font>
      <x:b/>
      <x:sz val="12"/>
      <x:color rgb="002F2963"/>
      <x:name val="Aptos"/>
    </x:font>
    <x:font>
      <x:b/>
      <x:sz val="10"/>
      <x:color rgb="00FFFFFF"/>
      <x:name val="Aptos"/>
    </x:font>
    <x:font>
      <x:sz val="10"/>
      <x:color rgb="00000000"/>
      <x:name val="Aptos"/>
    </x:font>
    <x:font>
      <x:b/>
      <x:sz val="11"/>
      <x:color rgb="002F296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00EAF2FF"/>
      </x:patternFill>
    </x:fill>
    <x:fill>
      <x:patternFill patternType="solid">
        <x:fgColor rgb="00F4F6FA"/>
      </x:patternFill>
    </x:fill>
    <x:fill>
      <x:patternFill patternType="solid">
        <x:fgColor rgb="00EEEAFE"/>
      </x:patternFill>
    </x:fill>
    <x:fill>
      <x:patternFill patternType="solid">
        <x:fgColor rgb="00EEF8F0"/>
      </x:patternFill>
    </x:fill>
    <x:fill>
      <x:patternFill patternType="solid">
        <x:fgColor rgb="00FFF3E9"/>
      </x:patternFill>
    </x:fill>
    <x:fill>
      <x:patternFill patternType="solid">
        <x:fgColor rgb="003B2E7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3" fillId="4" borderId="0" xfId="0"/>
    <x:xf numFmtId="0" fontId="3" fillId="5" borderId="0" xfId="0"/>
    <x:xf numFmtId="0" fontId="3" fillId="6" borderId="0" xfId="0"/>
    <x:xf numFmtId="0" fontId="4" fillId="3" borderId="0" xfId="0" applyAlignment="1">
      <x:alignment horizontal="center" vertical="center"/>
    </x:xf>
    <x:xf numFmtId="0" fontId="5" fillId="0" borderId="0" xfId="0"/>
    <x:xf numFmtId="0" fontId="6" fillId="7" borderId="0" xfId="0" applyAlignment="1">
      <x:alignment horizontal="center" vertical="center"/>
    </x:xf>
    <x:xf numFmtId="0" fontId="7" fillId="0" borderId="0" xfId="0" applyAlignment="1">
      <x:alignment horizontal="left"/>
    </x:xf>
    <x:xf numFmtId="164" fontId="7" fillId="0" borderId="0" xfId="0" applyAlignment="1">
      <x:alignment horizontal="center"/>
    </x:xf>
    <x:xf numFmtId="0" fontId="7" fillId="0" borderId="0" xfId="0" applyAlignment="1">
      <x:alignment horizontal="center"/>
    </x:xf>
    <x:xf numFmtId="0" fontId="7" fillId="0" borderId="0" xfId="0" applyAlignment="1">
      <x:alignment horizontal="left" vertical="center"/>
    </x:xf>
    <x:xf numFmtId="0" fontId="7" fillId="0" borderId="0" xfId="0" applyAlignment="1">
      <x:alignment horizontal="center" vertical="center"/>
    </x:xf>
    <x:xf numFmtId="164" fontId="7" fillId="0" borderId="0" xfId="0" applyAlignment="1">
      <x:alignment horizontal="center" vertical="center"/>
    </x:xf>
    <x:xf numFmtId="164" fontId="8" fillId="0" borderId="0" xfId="0"/>
    <x:xf numFmtId="0" fontId="0" fillId="0" borderId="0" xfId="0" applyAlignment="1">
      <x:alignment wrapText="1"/>
    </x:xf>
    <x:xf numFmtId="164" fontId="0" fillId="0" borderId="0" xfId="0"/>
    <x:xf numFmtId="164" fontId="5" fillId="4" borderId="0" xfId="0"/>
    <x:xf numFmtId="0" fontId="7" fillId="0" borderId="0" xfId="0" applyAlignment="1">
      <x:alignment horizontal="left" vertical="top" wrapText="1"/>
    </x:xf>
    <x:xf numFmtId="0" fontId="7" fillId="0" borderId="0" xfId="0" applyAlignment="1">
      <x:alignment horizontal="center" vertical="top" wrapText="1"/>
    </x:xf>
    <x:xf numFmtId="164" fontId="7" fillId="0" borderId="0" xfId="0" applyAlignment="1">
      <x:alignment horizontal="center" vertical="top" wrapText="1"/>
    </x:xf>
  </x:cellXfs>
  <x:cellStyles count="1">
    <x:cellStyle name="Normal" xfId="0"/>
  </x:cellStyles>
  <x:dxfs count="3">
    <x:dxf>
      <x:fill>
        <x:patternFill>
          <x:bgColor rgb="00E6F4EA"/>
        </x:patternFill>
      </x:fill>
    </x:dxf>
    <x:dxf>
      <x:fill>
        <x:patternFill>
          <x:bgColor rgb="00FFF9CC"/>
        </x:patternFill>
      </x:fill>
    </x:dxf>
    <x:dxf>
      <x:fill>
        <x:patternFill>
          <x:bgColor rgb="00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3fec706a3408d" /><Relationship Type="http://schemas.openxmlformats.org/officeDocument/2006/relationships/theme" Target="/xl/theme/theme1.xml" Id="R018f69b2194d4141" /><Relationship Type="http://schemas.openxmlformats.org/officeDocument/2006/relationships/sharedStrings" Target="/xl/sharedStrings.xml" Id="Rd43a8f14240a4902" /><Relationship Type="http://schemas.openxmlformats.org/officeDocument/2006/relationships/worksheet" Target="/xl/worksheets/sheet1.xml" Id="R910362fc51e04e0b" /><Relationship Type="http://schemas.openxmlformats.org/officeDocument/2006/relationships/worksheet" Target="/xl/worksheets/sheet2.xml" Id="R898bd63be9d84db0" /><Relationship Type="http://schemas.openxmlformats.org/officeDocument/2006/relationships/worksheet" Target="/xl/worksheets/sheet3.xml" Id="R05e9cb92c0f2451e" /><Relationship Type="http://schemas.openxmlformats.org/officeDocument/2006/relationships/worksheet" Target="/xl/worksheets/sheet4.xml" Id="Rd98a0c3ec3e248c2" /><Relationship Type="http://schemas.microsoft.com/office/2017/10/relationships/person" Target="/xl/persons/person.xml" Id="R4c415fdf1d5e46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c71b6c369a4a5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f501bc1c8fd46a2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Objective scores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'Executive OKRs'!F11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'Executive OKRs'!$B$12:$B$17</c:f>
              <c:strCache>
                <c:ptCount val="0"/>
              </c:strCache>
            </c:strRef>
          </c:cat>
          <c:val>
            <c:numRef>
              <c:f>'Executive OKRs'!$F$12:$F$17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Score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Release completion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'Roadmap'!I5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'Roadmap'!$H$6:$H$9</c:f>
              <c:strCache>
                <c:ptCount val="0"/>
              </c:strCache>
            </c:strRef>
          </c:cat>
          <c:val>
            <c:numRef>
              <c:f>'Roadmap'!$I$6:$I$9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c71b6c369a4a5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501bc1c8fd46a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5760A556-6F62-4053-5FAD-DB27EEF81D99}"/>
  <xltc:person displayName="OpenAI" id="{7D2EB42B-96F6-BA97-02CA-ACC10E40EBDF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c61d26e9772464b" /><Relationship Type="http://schemas.openxmlformats.org/officeDocument/2006/relationships/vmlDrawing" Target="/xl/drawings/vmldrawing.vml" Id="R13390e7337934695" /><Relationship Type="http://schemas.openxmlformats.org/officeDocument/2006/relationships/drawing" Target="/xl/drawings/drawing1.xml" Id="Rd5c9ee647b8c44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8d6d35ff0c647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ca39525af7d44566" /><Relationship Type="http://schemas.openxmlformats.org/officeDocument/2006/relationships/vmlDrawing" Target="/xl/drawings/vmldrawing2.vml" Id="R7200005af80c4f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" customWidth="1"/>
    <x:col min="2" max="2" width="28" customWidth="1"/>
    <x:col min="3" max="3" width="16" customWidth="1"/>
    <x:col min="4" max="4" width="12" customWidth="1"/>
    <x:col min="5" max="5" width="12" customWidth="1"/>
    <x:col min="6" max="6" width="11" customWidth="1"/>
    <x:col min="7" max="7" width="13" customWidth="1"/>
    <x:col min="8" max="8" width="20" customWidth="1"/>
    <x:col min="9" max="9" width="16" customWidth="1"/>
  </x:cols>
  <x:sheetData>
    <x:row r="2">
      <x:c r="B2" s="1" t="inlineStr">
        <x:is>
          <x:t xml:space="preserve">Pulser Professional Office Skills — Finance PPM OKR Dashboard</x:t>
        </x:is>
      </x:c>
    </x:row>
    <x:row r="3">
      <x:c r="B3" s="2" t="inlineStr">
        <x:is>
          <x:t xml:space="preserve">Business case, key results, and release-readiness view</x:t>
        </x:is>
      </x:c>
    </x:row>
    <x:row r="5">
      <x:c r="B5" s="3" t="inlineStr">
        <x:is>
          <x:t xml:space="preserve">Office studios</x:t>
        </x:is>
      </x:c>
      <x:c r="D5" s="4" t="inlineStr">
        <x:is>
          <x:t xml:space="preserve">Publishable-quality gate</x:t>
        </x:is>
      </x:c>
      <x:c r="F5" s="5" t="inlineStr">
        <x:is>
          <x:t xml:space="preserve">Document grounding</x:t>
        </x:is>
      </x:c>
      <x:c r="H5" s="6" t="inlineStr">
        <x:is>
          <x:t xml:space="preserve">Release readiness</x:t>
        </x:is>
      </x:c>
    </x:row>
    <x:row r="6">
      <x:c r="B6" s="7" t="inlineStr">
        <x:is>
          <x:t xml:space="preserve">3</x:t>
        </x:is>
      </x:c>
      <x:c r="D6" s="7" t="inlineStr">
        <x:is>
          <x:t xml:space="preserve">75%</x:t>
        </x:is>
      </x:c>
      <x:c r="F6" s="7" t="inlineStr">
        <x:is>
          <x:t xml:space="preserve">72%</x:t>
        </x:is>
      </x:c>
      <x:c r="H6" s="7" t="inlineStr">
        <x:is>
          <x:t xml:space="preserve">60%</x:t>
        </x:is>
      </x:c>
    </x:row>
    <x:row r="7"/>
    <x:row r="10">
      <x:c r="B10" s="8" t="inlineStr">
        <x:is>
          <x:t xml:space="preserve">Objective scorecard</x:t>
        </x:is>
      </x:c>
    </x:row>
    <x:row r="11">
      <x:c r="B11" s="9" t="inlineStr">
        <x:is>
          <x:t xml:space="preserve">Objective</x:t>
        </x:is>
      </x:c>
      <x:c r="C11" s="9" t="inlineStr">
        <x:is>
          <x:t xml:space="preserve">Owner</x:t>
        </x:is>
      </x:c>
      <x:c r="D11" s="9" t="inlineStr">
        <x:is>
          <x:t xml:space="preserve">Current</x:t>
        </x:is>
      </x:c>
      <x:c r="E11" s="9" t="inlineStr">
        <x:is>
          <x:t xml:space="preserve">Target</x:t>
        </x:is>
      </x:c>
      <x:c r="F11" s="9" t="inlineStr">
        <x:is>
          <x:t xml:space="preserve">Score</x:t>
        </x:is>
      </x:c>
      <x:c r="G11" s="9" t="inlineStr">
        <x:is>
          <x:t xml:space="preserve">Status</x:t>
        </x:is>
      </x:c>
      <x:c r="H11" s="9" t="inlineStr">
        <x:is>
          <x:t xml:space="preserve">Metric source</x:t>
        </x:is>
      </x:c>
      <x:c r="I11" s="9" t="inlineStr">
        <x:is>
          <x:t xml:space="preserve">Cadence</x:t>
        </x:is>
      </x:c>
    </x:row>
    <x:row r="12">
      <x:c r="B12" s="10" t="inlineStr">
        <x:is>
          <x:t xml:space="preserve">O1 Faster artifact production</x:t>
        </x:is>
      </x:c>
      <x:c r="C12" s="10" t="inlineStr">
        <x:is>
          <x:t xml:space="preserve">Ops Lead</x:t>
        </x:is>
      </x:c>
      <x:c r="D12" s="11" t="n">
        <x:v>0.68</x:v>
      </x:c>
      <x:c r="E12" s="11" t="n">
        <x:v>0.9</x:v>
      </x:c>
      <x:c r="F12" s="11">
        <x:f>D12/E12</x:f>
        <x:v>0.7555555555555555</x:v>
      </x:c>
      <x:c r="G12" s="12" t="str">
        <x:f>IF(F12&gt;=0.7,"On track",IF(F12&gt;=0.4,"At risk","Off track"))</x:f>
        <x:v>On track</x:v>
      </x:c>
      <x:c r="H12" s="10" t="inlineStr">
        <x:is>
          <x:t xml:space="preserve">SC-PH-01 / 02 / 03</x:t>
        </x:is>
      </x:c>
      <x:c r="I12" s="10" t="inlineStr">
        <x:is>
          <x:t xml:space="preserve">Weekly</x:t>
        </x:is>
      </x:c>
    </x:row>
    <x:row r="13">
      <x:c r="B13" s="10" t="inlineStr">
        <x:is>
          <x:t xml:space="preserve">O2 Higher publication quality</x:t>
        </x:is>
      </x:c>
      <x:c r="C13" s="10" t="inlineStr">
        <x:is>
          <x:t xml:space="preserve">Review Lead</x:t>
        </x:is>
      </x:c>
      <x:c r="D13" s="11" t="n">
        <x:v>0.84</x:v>
      </x:c>
      <x:c r="E13" s="11" t="n">
        <x:v>0.9</x:v>
      </x:c>
      <x:c r="F13" s="11">
        <x:f>D13/E13</x:f>
        <x:v>0.9333333333333332</x:v>
      </x:c>
      <x:c r="G13" s="12" t="str">
        <x:f>IF(F13&gt;=0.7,"On track",IF(F13&gt;=0.4,"At risk","Off track"))</x:f>
        <x:v>On track</x:v>
      </x:c>
      <x:c r="H13" s="10" t="inlineStr">
        <x:is>
          <x:t xml:space="preserve">SC-PH-04</x:t>
        </x:is>
      </x:c>
      <x:c r="I13" s="10" t="inlineStr">
        <x:is>
          <x:t xml:space="preserve">Weekly</x:t>
        </x:is>
      </x:c>
    </x:row>
    <x:row r="14">
      <x:c r="B14" s="10" t="inlineStr">
        <x:is>
          <x:t xml:space="preserve">O3 Stronger grounding</x:t>
        </x:is>
      </x:c>
      <x:c r="C14" s="10" t="inlineStr">
        <x:is>
          <x:t xml:space="preserve">Knowledge Lead</x:t>
        </x:is>
      </x:c>
      <x:c r="D14" s="11" t="n">
        <x:v>0.72</x:v>
      </x:c>
      <x:c r="E14" s="11" t="n">
        <x:v>0.95</x:v>
      </x:c>
      <x:c r="F14" s="11">
        <x:f>D14/E14</x:f>
        <x:v>0.7578947368421053</x:v>
      </x:c>
      <x:c r="G14" s="12" t="str">
        <x:f>IF(F14&gt;=0.7,"On track",IF(F14&gt;=0.4,"At risk","Off track"))</x:f>
        <x:v>On track</x:v>
      </x:c>
      <x:c r="H14" s="10" t="inlineStr">
        <x:is>
          <x:t xml:space="preserve">SC-PH-18 / 19 / 20</x:t>
        </x:is>
      </x:c>
      <x:c r="I14" s="10" t="inlineStr">
        <x:is>
          <x:t xml:space="preserve">Weekly</x:t>
        </x:is>
      </x:c>
    </x:row>
    <x:row r="15">
      <x:c r="B15" s="10" t="inlineStr">
        <x:is>
          <x:t xml:space="preserve">O4 Documents retention</x:t>
        </x:is>
      </x:c>
      <x:c r="C15" s="10" t="inlineStr">
        <x:is>
          <x:t xml:space="preserve">Compliance Lead</x:t>
        </x:is>
      </x:c>
      <x:c r="D15" s="11" t="n">
        <x:v>0.55</x:v>
      </x:c>
      <x:c r="E15" s="11" t="n">
        <x:v>1</x:v>
      </x:c>
      <x:c r="F15" s="11">
        <x:f>D15/E15</x:f>
        <x:v>0.55</x:v>
      </x:c>
      <x:c r="G15" s="12" t="str">
        <x:f>IF(F15&gt;=0.7,"On track",IF(F15&gt;=0.4,"At risk","Off track"))</x:f>
        <x:v>At risk</x:v>
      </x:c>
      <x:c r="H15" s="10" t="inlineStr">
        <x:is>
          <x:t xml:space="preserve">SC-PH-23 / 24</x:t>
        </x:is>
      </x:c>
      <x:c r="I15" s="10" t="inlineStr">
        <x:is>
          <x:t xml:space="preserve">Weekly</x:t>
        </x:is>
      </x:c>
    </x:row>
    <x:row r="16">
      <x:c r="B16" s="10" t="inlineStr">
        <x:is>
          <x:t xml:space="preserve">O5 Reviewer efficiency</x:t>
        </x:is>
      </x:c>
      <x:c r="C16" s="10" t="inlineStr">
        <x:is>
          <x:t xml:space="preserve">PMO Lead</x:t>
        </x:is>
      </x:c>
      <x:c r="D16" s="11" t="n">
        <x:v>0.7</x:v>
      </x:c>
      <x:c r="E16" s="11" t="n">
        <x:v>0.85</x:v>
      </x:c>
      <x:c r="F16" s="11">
        <x:f>D16/E16</x:f>
        <x:v>0.8235294117647058</x:v>
      </x:c>
      <x:c r="G16" s="12" t="str">
        <x:f>IF(F16&gt;=0.7,"On track",IF(F16&gt;=0.4,"At risk","Off track"))</x:f>
        <x:v>On track</x:v>
      </x:c>
      <x:c r="H16" s="10" t="inlineStr">
        <x:is>
          <x:t xml:space="preserve">Business case</x:t>
        </x:is>
      </x:c>
      <x:c r="I16" s="10" t="inlineStr">
        <x:is>
          <x:t xml:space="preserve">Biweekly</x:t>
        </x:is>
      </x:c>
    </x:row>
    <x:row r="17">
      <x:c r="B17" s="10" t="inlineStr">
        <x:is>
          <x:t xml:space="preserve">O6 AI financial discipline</x:t>
        </x:is>
      </x:c>
      <x:c r="C17" s="10" t="inlineStr">
        <x:is>
          <x:t xml:space="preserve">Platform Lead</x:t>
        </x:is>
      </x:c>
      <x:c r="D17" s="11" t="n">
        <x:v>0.4</x:v>
      </x:c>
      <x:c r="E17" s="11" t="n">
        <x:v>0.8</x:v>
      </x:c>
      <x:c r="F17" s="11">
        <x:f>D17/E17</x:f>
        <x:v>0.5</x:v>
      </x:c>
      <x:c r="G17" s="12" t="str">
        <x:f>IF(F17&gt;=0.7,"On track",IF(F17&gt;=0.4,"At risk","Off track"))</x:f>
        <x:v>At risk</x:v>
      </x:c>
      <x:c r="H17" s="10" t="inlineStr">
        <x:is>
          <x:t xml:space="preserve">SC-PH-14 / 15 / 17 / 21</x:t>
        </x:is>
      </x:c>
      <x:c r="I17" s="10" t="inlineStr">
        <x:is>
          <x:t xml:space="preserve">Biweekly</x:t>
        </x:is>
      </x:c>
    </x:row>
    <x:row r="20">
      <x:c r="B20" s="8" t="inlineStr">
        <x:is>
          <x:t xml:space="preserve">Release gates</x:t>
        </x:is>
      </x:c>
    </x:row>
    <x:row r="21">
      <x:c r="B21" s="9" t="inlineStr">
        <x:is>
          <x:t xml:space="preserve">Gate</x:t>
        </x:is>
      </x:c>
      <x:c r="C21" s="9" t="inlineStr">
        <x:is>
          <x:t xml:space="preserve">Owner</x:t>
        </x:is>
      </x:c>
      <x:c r="D21" s="9" t="inlineStr">
        <x:is>
          <x:t xml:space="preserve">Current</x:t>
        </x:is>
      </x:c>
      <x:c r="E21" s="9" t="inlineStr">
        <x:is>
          <x:t xml:space="preserve">Target</x:t>
        </x:is>
      </x:c>
      <x:c r="F21" s="9" t="inlineStr">
        <x:is>
          <x:t xml:space="preserve">Gap</x:t>
        </x:is>
      </x:c>
      <x:c r="G21" s="9" t="inlineStr">
        <x:is>
          <x:t xml:space="preserve">Status</x:t>
        </x:is>
      </x:c>
    </x:row>
    <x:row r="22">
      <x:c r="B22" s="10" t="inlineStr">
        <x:is>
          <x:t xml:space="preserve">Custom policies active</x:t>
        </x:is>
      </x:c>
      <x:c r="C22" s="10" t="inlineStr">
        <x:is>
          <x:t xml:space="preserve">Platform</x:t>
        </x:is>
      </x:c>
      <x:c r="D22" s="12" t="n">
        <x:v>2</x:v>
      </x:c>
      <x:c r="E22" s="12" t="n">
        <x:v>4</x:v>
      </x:c>
      <x:c r="F22" s="12">
        <x:f>E22-D22</x:f>
        <x:v>2</x:v>
      </x:c>
      <x:c r="G22" s="12" t="str">
        <x:f>IF(F22&lt;=0,"Ready","Open")</x:f>
        <x:v>Open</x:v>
      </x:c>
    </x:row>
    <x:row r="23">
      <x:c r="B23" s="10" t="inlineStr">
        <x:is>
          <x:t xml:space="preserve">Core agents with passing evals</x:t>
        </x:is>
      </x:c>
      <x:c r="C23" s="10" t="inlineStr">
        <x:is>
          <x:t xml:space="preserve">Platform</x:t>
        </x:is>
      </x:c>
      <x:c r="D23" s="12" t="n">
        <x:v>3</x:v>
      </x:c>
      <x:c r="E23" s="12" t="n">
        <x:v>5</x:v>
      </x:c>
      <x:c r="F23" s="12">
        <x:f>E23-D23</x:f>
        <x:v>2</x:v>
      </x:c>
      <x:c r="G23" s="12" t="str">
        <x:f>IF(F23&lt;=0,"Ready","Open")</x:f>
        <x:v>Open</x:v>
      </x:c>
    </x:row>
    <x:row r="24">
      <x:c r="B24" s="10" t="inlineStr">
        <x:is>
          <x:t xml:space="preserve">Knowledge indexes live</x:t>
        </x:is>
      </x:c>
      <x:c r="C24" s="10" t="inlineStr">
        <x:is>
          <x:t xml:space="preserve">Knowledge</x:t>
        </x:is>
      </x:c>
      <x:c r="D24" s="12" t="n">
        <x:v>0</x:v>
      </x:c>
      <x:c r="E24" s="12" t="n">
        <x:v>1</x:v>
      </x:c>
      <x:c r="F24" s="12">
        <x:f>E24-D24</x:f>
        <x:v>1</x:v>
      </x:c>
      <x:c r="G24" s="12" t="str">
        <x:f>IF(F24&lt;=0,"Ready","Open")</x:f>
        <x:v>Open</x:v>
      </x:c>
    </x:row>
    <x:row r="25">
      <x:c r="B25" s="10" t="inlineStr">
        <x:is>
          <x:t xml:space="preserve">Red-team runs complete</x:t>
        </x:is>
      </x:c>
      <x:c r="C25" s="10" t="inlineStr">
        <x:is>
          <x:t xml:space="preserve">Security</x:t>
        </x:is>
      </x:c>
      <x:c r="D25" s="12" t="n">
        <x:v>0</x:v>
      </x:c>
      <x:c r="E25" s="12" t="n">
        <x:v>1</x:v>
      </x:c>
      <x:c r="F25" s="12">
        <x:f>E25-D25</x:f>
        <x:v>1</x:v>
      </x:c>
      <x:c r="G25" s="12" t="str">
        <x:f>IF(F25&lt;=0,"Ready","Open")</x:f>
        <x:v>Open</x:v>
      </x:c>
    </x:row>
  </x:sheetData>
  <x:mergeCells>
    <x:mergeCell ref="H6:I7"/>
    <x:mergeCell ref="B5:C5"/>
    <x:mergeCell ref="F5:G5"/>
    <x:mergeCell ref="D5:E5"/>
    <x:mergeCell ref="D6:E7"/>
    <x:mergeCell ref="B6:C7"/>
    <x:mergeCell ref="H5:I5"/>
    <x:mergeCell ref="F6:G7"/>
  </x:mergeCells>
  <x:conditionalFormatting sqref="G12:G17">
    <x:cfRule type="expression" dxfId="0" priority="1">
      <x:formula>$F12&gt;=0.7</x:formula>
    </x:cfRule>
    <x:cfRule type="expression" dxfId="1" priority="2">
      <x:formula>AND($F12&lt;0.7,$F12&gt;=0.4)</x:formula>
    </x:cfRule>
    <x:cfRule type="expression" dxfId="2" priority="3">
      <x:formula>$F12&lt;0.4</x:formula>
    </x:cfRule>
  </x:conditionalFormatting>
  <x:pageMargins left="0.7" right="0.7" top="0.75" bottom="0.75" header="0.3" footer="0.3"/>
  <x:legacyDrawing xmlns:r="http://schemas.openxmlformats.org/officeDocument/2006/relationships" r:id="R13390e7337934695"/>
  <x:drawing xmlns:r="http://schemas.openxmlformats.org/officeDocument/2006/relationships" r:id="Rd5c9ee647b8c449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2" customWidth="1"/>
    <x:col min="3" max="3" width="28" customWidth="1"/>
    <x:col min="4" max="4" width="26" customWidth="1"/>
    <x:col min="5" max="5" width="18" customWidth="1"/>
    <x:col min="6" max="6" width="14" customWidth="1"/>
    <x:col min="7" max="7" width="10" customWidth="1"/>
    <x:col min="8" max="8" width="10" customWidth="1"/>
    <x:col min="9" max="9" width="12" customWidth="1"/>
    <x:col min="10" max="10" width="10" customWidth="1"/>
  </x:cols>
  <x:sheetData>
    <x:row r="2">
      <x:c r="B2" s="1" t="inlineStr">
        <x:is>
          <x:t xml:space="preserve">Pulser Office Skills — Capability Matrix</x:t>
        </x:is>
      </x:c>
    </x:row>
    <x:row r="3">
      <x:c r="B3" s="2" t="inlineStr">
        <x:is>
          <x:t xml:space="preserve">Publishable-quality definition by studio, grounding surface, and release phase</x:t>
        </x:is>
      </x:c>
    </x:row>
    <x:row r="5">
      <x:c r="A5" s="9" t="inlineStr">
        <x:is>
          <x:t xml:space="preserve">Studio</x:t>
        </x:is>
      </x:c>
      <x:c r="B5" s="9" t="inlineStr">
        <x:is>
          <x:t xml:space="preserve">Capability</x:t>
        </x:is>
      </x:c>
      <x:c r="C5" s="9" t="inlineStr">
        <x:is>
          <x:t xml:space="preserve">Primary user value</x:t>
        </x:is>
      </x:c>
      <x:c r="D5" s="9" t="inlineStr">
        <x:is>
          <x:t xml:space="preserve">Grounding source</x:t>
        </x:is>
      </x:c>
      <x:c r="E5" s="9" t="inlineStr">
        <x:is>
          <x:t xml:space="preserve">Publish output</x:t>
        </x:is>
      </x:c>
      <x:c r="F5" s="9" t="inlineStr">
        <x:is>
          <x:t xml:space="preserve">CE/OCA/Delta</x:t>
        </x:is>
      </x:c>
      <x:c r="G5" s="9" t="inlineStr">
        <x:is>
          <x:t xml:space="preserve">Phase</x:t>
        </x:is>
      </x:c>
      <x:c r="H5" s="9" t="inlineStr">
        <x:is>
          <x:t xml:space="preserve">Priority</x:t>
        </x:is>
      </x:c>
      <x:c r="I5" s="9" t="inlineStr">
        <x:is>
          <x:t xml:space="preserve">Readiness</x:t>
        </x:is>
      </x:c>
      <x:c r="J5" s="9" t="inlineStr">
        <x:is>
          <x:t xml:space="preserve">Score</x:t>
        </x:is>
      </x:c>
    </x:row>
    <x:row r="6" ht="36" customHeight="1">
      <x:c r="A6" s="20" t="inlineStr">
        <x:is>
          <x:t xml:space="preserve">PowerPoint</x:t>
        </x:is>
      </x:c>
      <x:c r="B6" s="20" t="inlineStr">
        <x:is>
          <x:t xml:space="preserve">Executive narrative deck</x:t>
        </x:is>
      </x:c>
      <x:c r="C6" s="20" t="inlineStr">
        <x:is>
          <x:t xml:space="preserve">Leadership review story with clean structure</x:t>
        </x:is>
      </x:c>
      <x:c r="D6" s="20" t="inlineStr">
        <x:is>
          <x:t xml:space="preserve">PPM OKRs + Odoo Docs + policies</x:t>
        </x:is>
      </x:c>
      <x:c r="E6" s="20" t="inlineStr">
        <x:is>
          <x:t xml:space="preserve">PPTX/PDF</x:t>
        </x:is>
      </x:c>
      <x:c r="F6" s="20" t="inlineStr">
        <x:is>
          <x:t xml:space="preserve">Delta</x:t>
        </x:is>
      </x:c>
      <x:c r="G6" s="21" t="inlineStr">
        <x:is>
          <x:t xml:space="preserve">R1</x:t>
        </x:is>
      </x:c>
      <x:c r="H6" s="21" t="inlineStr">
        <x:is>
          <x:t xml:space="preserve">High</x:t>
        </x:is>
      </x:c>
      <x:c r="I6" s="21" t="inlineStr">
        <x:is>
          <x:t xml:space="preserve">Draft</x:t>
        </x:is>
      </x:c>
      <x:c r="J6" s="22">
        <x:f>IF(I6="Live",1,IF(I6="Pilot",0.7,IF(I6="Draft",0.4,0.1)))</x:f>
        <x:v>0.4</x:v>
      </x:c>
    </x:row>
    <x:row r="7" ht="36" customHeight="1">
      <x:c r="A7" s="20" t="inlineStr">
        <x:is>
          <x:t xml:space="preserve">PowerPoint</x:t>
        </x:is>
      </x:c>
      <x:c r="B7" s="20" t="inlineStr">
        <x:is>
          <x:t xml:space="preserve">Board update template</x:t>
        </x:is>
      </x:c>
      <x:c r="C7" s="20" t="inlineStr">
        <x:is>
          <x:t xml:space="preserve">Recurring board-ready status deck</x:t>
        </x:is>
      </x:c>
      <x:c r="D7" s="20" t="inlineStr">
        <x:is>
          <x:t xml:space="preserve">PPM metrics + retained evidence</x:t>
        </x:is>
      </x:c>
      <x:c r="E7" s="20" t="inlineStr">
        <x:is>
          <x:t xml:space="preserve">PPTX/PDF</x:t>
        </x:is>
      </x:c>
      <x:c r="F7" s="20" t="inlineStr">
        <x:is>
          <x:t xml:space="preserve">Delta</x:t>
        </x:is>
      </x:c>
      <x:c r="G7" s="21" t="inlineStr">
        <x:is>
          <x:t xml:space="preserve">R2</x:t>
        </x:is>
      </x:c>
      <x:c r="H7" s="21" t="inlineStr">
        <x:is>
          <x:t xml:space="preserve">High</x:t>
        </x:is>
      </x:c>
      <x:c r="I7" s="21" t="inlineStr">
        <x:is>
          <x:t xml:space="preserve">Draft</x:t>
        </x:is>
      </x:c>
      <x:c r="J7" s="22">
        <x:f>IF(I7="Live",1,IF(I7="Pilot",0.7,IF(I7="Draft",0.4,0.1)))</x:f>
        <x:v>0.4</x:v>
      </x:c>
    </x:row>
    <x:row r="8" ht="36" customHeight="1">
      <x:c r="A8" s="20" t="inlineStr">
        <x:is>
          <x:t xml:space="preserve">Word</x:t>
        </x:is>
      </x:c>
      <x:c r="B8" s="20" t="inlineStr">
        <x:is>
          <x:t xml:space="preserve">PRD / plan bundle</x:t>
        </x:is>
      </x:c>
      <x:c r="C8" s="20" t="inlineStr">
        <x:is>
          <x:t xml:space="preserve">Formal spec and operating document</x:t>
        </x:is>
      </x:c>
      <x:c r="D8" s="20" t="inlineStr">
        <x:is>
          <x:t xml:space="preserve">Odoo Docs + approved knowledge</x:t>
        </x:is>
      </x:c>
      <x:c r="E8" s="20" t="inlineStr">
        <x:is>
          <x:t xml:space="preserve">DOCX/PDF</x:t>
        </x:is>
      </x:c>
      <x:c r="F8" s="20" t="inlineStr">
        <x:is>
          <x:t xml:space="preserve">Delta</x:t>
        </x:is>
      </x:c>
      <x:c r="G8" s="21" t="inlineStr">
        <x:is>
          <x:t xml:space="preserve">R1</x:t>
        </x:is>
      </x:c>
      <x:c r="H8" s="21" t="inlineStr">
        <x:is>
          <x:t xml:space="preserve">High</x:t>
        </x:is>
      </x:c>
      <x:c r="I8" s="21" t="inlineStr">
        <x:is>
          <x:t xml:space="preserve">Pilot</x:t>
        </x:is>
      </x:c>
      <x:c r="J8" s="22">
        <x:f>IF(I8="Live",1,IF(I8="Pilot",0.7,IF(I8="Draft",0.4,0.1)))</x:f>
        <x:v>0.7</x:v>
      </x:c>
    </x:row>
    <x:row r="9" ht="36" customHeight="1">
      <x:c r="A9" s="20" t="inlineStr">
        <x:is>
          <x:t xml:space="preserve">Word</x:t>
        </x:is>
      </x:c>
      <x:c r="B9" s="20" t="inlineStr">
        <x:is>
          <x:t xml:space="preserve">Close pack / policy brief</x:t>
        </x:is>
      </x:c>
      <x:c r="C9" s="20" t="inlineStr">
        <x:is>
          <x:t xml:space="preserve">Reviewer-ready procedural document</x:t>
        </x:is>
      </x:c>
      <x:c r="D9" s="20" t="inlineStr">
        <x:is>
          <x:t xml:space="preserve">Documents vault + approvals</x:t>
        </x:is>
      </x:c>
      <x:c r="E9" s="20" t="inlineStr">
        <x:is>
          <x:t xml:space="preserve">DOCX/PDF</x:t>
        </x:is>
      </x:c>
      <x:c r="F9" s="20" t="inlineStr">
        <x:is>
          <x:t xml:space="preserve">Delta</x:t>
        </x:is>
      </x:c>
      <x:c r="G9" s="21" t="inlineStr">
        <x:is>
          <x:t xml:space="preserve">R2</x:t>
        </x:is>
      </x:c>
      <x:c r="H9" s="21" t="inlineStr">
        <x:is>
          <x:t xml:space="preserve">High</x:t>
        </x:is>
      </x:c>
      <x:c r="I9" s="21" t="inlineStr">
        <x:is>
          <x:t xml:space="preserve">Draft</x:t>
        </x:is>
      </x:c>
      <x:c r="J9" s="22">
        <x:f>IF(I9="Live",1,IF(I9="Pilot",0.7,IF(I9="Draft",0.4,0.1)))</x:f>
        <x:v>0.4</x:v>
      </x:c>
    </x:row>
    <x:row r="10" ht="36" customHeight="1">
      <x:c r="A10" s="20" t="inlineStr">
        <x:is>
          <x:t xml:space="preserve">Excel</x:t>
        </x:is>
      </x:c>
      <x:c r="B10" s="20" t="inlineStr">
        <x:is>
          <x:t xml:space="preserve">OKR dashboard workbook</x:t>
        </x:is>
      </x:c>
      <x:c r="C10" s="20" t="inlineStr">
        <x:is>
          <x:t xml:space="preserve">Operational KPI and KR scorecard</x:t>
        </x:is>
      </x:c>
      <x:c r="D10" s="20" t="inlineStr">
        <x:is>
          <x:t xml:space="preserve">PPM metrics + formulas</x:t>
        </x:is>
      </x:c>
      <x:c r="E10" s="20" t="inlineStr">
        <x:is>
          <x:t xml:space="preserve">XLSX</x:t>
        </x:is>
      </x:c>
      <x:c r="F10" s="20" t="inlineStr">
        <x:is>
          <x:t xml:space="preserve">Delta</x:t>
        </x:is>
      </x:c>
      <x:c r="G10" s="21" t="inlineStr">
        <x:is>
          <x:t xml:space="preserve">R1</x:t>
        </x:is>
      </x:c>
      <x:c r="H10" s="21" t="inlineStr">
        <x:is>
          <x:t xml:space="preserve">High</x:t>
        </x:is>
      </x:c>
      <x:c r="I10" s="21" t="inlineStr">
        <x:is>
          <x:t xml:space="preserve">Pilot</x:t>
        </x:is>
      </x:c>
      <x:c r="J10" s="22">
        <x:f>IF(I10="Live",1,IF(I10="Pilot",0.7,IF(I10="Draft",0.4,0.1)))</x:f>
        <x:v>0.7</x:v>
      </x:c>
    </x:row>
    <x:row r="11" ht="36" customHeight="1">
      <x:c r="A11" s="20" t="inlineStr">
        <x:is>
          <x:t xml:space="preserve">Excel</x:t>
        </x:is>
      </x:c>
      <x:c r="B11" s="20" t="inlineStr">
        <x:is>
          <x:t xml:space="preserve">Skill matrix / release tracker</x:t>
        </x:is>
      </x:c>
      <x:c r="C11" s="20" t="inlineStr">
        <x:is>
          <x:t xml:space="preserve">Release visibility and dependency control</x:t>
        </x:is>
      </x:c>
      <x:c r="D11" s="20" t="inlineStr">
        <x:is>
          <x:t xml:space="preserve">Tasks + milestones + gates</x:t>
        </x:is>
      </x:c>
      <x:c r="E11" s="20" t="inlineStr">
        <x:is>
          <x:t xml:space="preserve">XLSX</x:t>
        </x:is>
      </x:c>
      <x:c r="F11" s="20" t="inlineStr">
        <x:is>
          <x:t xml:space="preserve">Delta</x:t>
        </x:is>
      </x:c>
      <x:c r="G11" s="21" t="inlineStr">
        <x:is>
          <x:t xml:space="preserve">R1</x:t>
        </x:is>
      </x:c>
      <x:c r="H11" s="21" t="inlineStr">
        <x:is>
          <x:t xml:space="preserve">Medium</x:t>
        </x:is>
      </x:c>
      <x:c r="I11" s="21" t="inlineStr">
        <x:is>
          <x:t xml:space="preserve">Live</x:t>
        </x:is>
      </x:c>
      <x:c r="J11" s="22">
        <x:f>IF(I11="Live",1,IF(I11="Pilot",0.7,IF(I11="Draft",0.4,0.1)))</x:f>
        <x:v>1</x:v>
      </x:c>
    </x:row>
    <x:row r="12" ht="36" customHeight="1">
      <x:c r="A12" s="20" t="inlineStr">
        <x:is>
          <x:t xml:space="preserve">Cross-studio</x:t>
        </x:is>
      </x:c>
      <x:c r="B12" s="20" t="inlineStr">
        <x:is>
          <x:t xml:space="preserve">Evidence retention</x:t>
        </x:is>
      </x:c>
      <x:c r="C12" s="20" t="inlineStr">
        <x:is>
          <x:t xml:space="preserve">Copies stored in Odoo Documents</x:t>
        </x:is>
      </x:c>
      <x:c r="D12" s="20" t="inlineStr">
        <x:is>
          <x:t xml:space="preserve">Odoo Documents</x:t>
        </x:is>
      </x:c>
      <x:c r="E12" s="20" t="inlineStr">
        <x:is>
          <x:t xml:space="preserve">Retained copies</x:t>
        </x:is>
      </x:c>
      <x:c r="F12" s="20" t="inlineStr">
        <x:is>
          <x:t xml:space="preserve">CE</x:t>
        </x:is>
      </x:c>
      <x:c r="G12" s="21" t="inlineStr">
        <x:is>
          <x:t xml:space="preserve">R1</x:t>
        </x:is>
      </x:c>
      <x:c r="H12" s="21" t="inlineStr">
        <x:is>
          <x:t xml:space="preserve">High</x:t>
        </x:is>
      </x:c>
      <x:c r="I12" s="21" t="inlineStr">
        <x:is>
          <x:t xml:space="preserve">Draft</x:t>
        </x:is>
      </x:c>
      <x:c r="J12" s="22">
        <x:f>IF(I12="Live",1,IF(I12="Pilot",0.7,IF(I12="Draft",0.4,0.1)))</x:f>
        <x:v>0.4</x:v>
      </x:c>
    </x:row>
    <x:row r="13" ht="36" customHeight="1">
      <x:c r="A13" s="20" t="inlineStr">
        <x:is>
          <x:t xml:space="preserve">Cross-studio</x:t>
        </x:is>
      </x:c>
      <x:c r="B13" s="20" t="inlineStr">
        <x:is>
          <x:t xml:space="preserve">Documents-grounded answering</x:t>
        </x:is>
      </x:c>
      <x:c r="C13" s="20" t="inlineStr">
        <x:is>
          <x:t xml:space="preserve">Pulser answers from retained files</x:t>
        </x:is>
      </x:c>
      <x:c r="D13" s="20" t="inlineStr">
        <x:is>
          <x:t xml:space="preserve">Odoo Documents + linked records</x:t>
        </x:is>
      </x:c>
      <x:c r="E13" s="20" t="inlineStr">
        <x:is>
          <x:t xml:space="preserve">Grounded responses</x:t>
        </x:is>
      </x:c>
      <x:c r="F13" s="20" t="inlineStr">
        <x:is>
          <x:t xml:space="preserve">Delta</x:t>
        </x:is>
      </x:c>
      <x:c r="G13" s="21" t="inlineStr">
        <x:is>
          <x:t xml:space="preserve">R2</x:t>
        </x:is>
      </x:c>
      <x:c r="H13" s="21" t="inlineStr">
        <x:is>
          <x:t xml:space="preserve">High</x:t>
        </x:is>
      </x:c>
      <x:c r="I13" s="21" t="inlineStr">
        <x:is>
          <x:t xml:space="preserve">Draft</x:t>
        </x:is>
      </x:c>
      <x:c r="J13" s="22">
        <x:f>IF(I13="Live",1,IF(I13="Pilot",0.7,IF(I13="Draft",0.4,0.1)))</x:f>
        <x:v>0.4</x:v>
      </x:c>
    </x:row>
    <x:row r="15">
      <x:c r="I15" s="8" t="inlineStr">
        <x:is>
          <x:t xml:space="preserve">Overall readiness</x:t>
        </x:is>
      </x:c>
      <x:c r="J15" s="16">
        <x:f>AVERAGE(J6:J13)</x:f>
        <x:v>0.5499999999999999</x:v>
      </x:c>
    </x:row>
    <x:row r="17">
      <x:c r="A17" s="8" t="inlineStr">
        <x:is>
          <x:t xml:space="preserve">Notes</x:t>
        </x:is>
      </x:c>
    </x:row>
    <x:row r="18">
      <x:c r="A18" s="17" t="inlineStr">
        <x:is>
          <x:t xml:space="preserve">CE = native Odoo Community / Enterprise capability, OCA = community extension, Delta = thin custom layer. Readiness score is formula-driven from status.</x:t>
        </x:is>
      </x:c>
    </x:row>
    <x:row r="19"/>
  </x:sheetData>
  <x:mergeCells>
    <x:mergeCell ref="A18:J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8" customWidth="1"/>
    <x:col min="3" max="3" width="24" customWidth="1"/>
    <x:col min="4" max="4" width="14" customWidth="1"/>
    <x:col min="5" max="5" width="16" customWidth="1"/>
    <x:col min="6" max="6" width="14" customWidth="1"/>
    <x:col min="8" max="8" width="16" customWidth="1"/>
    <x:col min="9" max="9" width="12" customWidth="1"/>
  </x:cols>
  <x:sheetData>
    <x:row r="2">
      <x:c r="B2" s="1" t="inlineStr">
        <x:is>
          <x:t xml:space="preserve">Pulser Office Skills — Publishable Roadmap</x:t>
        </x:is>
      </x:c>
    </x:row>
    <x:row r="3">
      <x:c r="B3" s="2" t="inlineStr">
        <x:is>
          <x:t xml:space="preserve">Program phases, deliverables, and quality gates</x:t>
        </x:is>
      </x:c>
    </x:row>
    <x:row r="5">
      <x:c r="A5" s="9" t="inlineStr">
        <x:is>
          <x:t xml:space="preserve">Phase</x:t>
        </x:is>
      </x:c>
      <x:c r="B5" s="9" t="inlineStr">
        <x:is>
          <x:t xml:space="preserve">Milestone</x:t>
        </x:is>
      </x:c>
      <x:c r="C5" s="9" t="inlineStr">
        <x:is>
          <x:t xml:space="preserve">Deliverable</x:t>
        </x:is>
      </x:c>
      <x:c r="D5" s="9" t="inlineStr">
        <x:is>
          <x:t xml:space="preserve">Owner</x:t>
        </x:is>
      </x:c>
      <x:c r="E5" s="9" t="inlineStr">
        <x:is>
          <x:t xml:space="preserve">Due window</x:t>
        </x:is>
      </x:c>
      <x:c r="F5" s="9" t="inlineStr">
        <x:is>
          <x:t xml:space="preserve">Status</x:t>
        </x:is>
      </x:c>
      <x:c r="H5" s="8" t="inlineStr">
        <x:is>
          <x:t xml:space="preserve">Quarterly completion</x:t>
        </x:is>
      </x:c>
    </x:row>
    <x:row r="6" ht="32" customHeight="1">
      <x:c r="A6" s="21" t="inlineStr">
        <x:is>
          <x:t xml:space="preserve">R1</x:t>
        </x:is>
      </x:c>
      <x:c r="B6" s="20" t="inlineStr">
        <x:is>
          <x:t xml:space="preserve">Define studios and schemas</x:t>
        </x:is>
      </x:c>
      <x:c r="C6" s="20" t="inlineStr">
        <x:is>
          <x:t xml:space="preserve">PPT / Word / Excel skill contracts</x:t>
        </x:is>
      </x:c>
      <x:c r="D6" s="21" t="inlineStr">
        <x:is>
          <x:t xml:space="preserve">Product</x:t>
        </x:is>
      </x:c>
      <x:c r="E6" s="21" t="inlineStr">
        <x:is>
          <x:t xml:space="preserve">Foundation</x:t>
        </x:is>
      </x:c>
      <x:c r="F6" s="21" t="inlineStr">
        <x:is>
          <x:t xml:space="preserve">In progress</x:t>
        </x:is>
      </x:c>
      <x:c r="H6" t="inlineStr">
        <x:is>
          <x:t xml:space="preserve">R1</x:t>
        </x:is>
      </x:c>
      <x:c r="I6" s="18" t="n">
        <x:v>0.72</x:v>
      </x:c>
    </x:row>
    <x:row r="7" ht="32" customHeight="1">
      <x:c r="A7" s="21" t="inlineStr">
        <x:is>
          <x:t xml:space="preserve">R1</x:t>
        </x:is>
      </x:c>
      <x:c r="B7" s="20" t="inlineStr">
        <x:is>
          <x:t xml:space="preserve">Replace HTML dashboard</x:t>
        </x:is>
      </x:c>
      <x:c r="C7" s="20" t="inlineStr">
        <x:is>
          <x:t xml:space="preserve">Native Odoo OKR views</x:t>
        </x:is>
      </x:c>
      <x:c r="D7" s="21" t="inlineStr">
        <x:is>
          <x:t xml:space="preserve">Engineering</x:t>
        </x:is>
      </x:c>
      <x:c r="E7" s="21" t="inlineStr">
        <x:is>
          <x:t xml:space="preserve">Foundation</x:t>
        </x:is>
      </x:c>
      <x:c r="F7" s="21" t="inlineStr">
        <x:is>
          <x:t xml:space="preserve">Done</x:t>
        </x:is>
      </x:c>
      <x:c r="H7" t="inlineStr">
        <x:is>
          <x:t xml:space="preserve">R2</x:t>
        </x:is>
      </x:c>
      <x:c r="I7" s="18" t="n">
        <x:v>0.35</x:v>
      </x:c>
    </x:row>
    <x:row r="8" ht="32" customHeight="1">
      <x:c r="A8" s="21" t="inlineStr">
        <x:is>
          <x:t xml:space="preserve">R1</x:t>
        </x:is>
      </x:c>
      <x:c r="B8" s="20" t="inlineStr">
        <x:is>
          <x:t xml:space="preserve">Patch spec bundle</x:t>
        </x:is>
      </x:c>
      <x:c r="C8" s="20" t="inlineStr">
        <x:is>
          <x:t xml:space="preserve">PRD + plan + tasks updated</x:t>
        </x:is>
      </x:c>
      <x:c r="D8" s="21" t="inlineStr">
        <x:is>
          <x:t xml:space="preserve">Product</x:t>
        </x:is>
      </x:c>
      <x:c r="E8" s="21" t="inlineStr">
        <x:is>
          <x:t xml:space="preserve">Foundation</x:t>
        </x:is>
      </x:c>
      <x:c r="F8" s="21" t="inlineStr">
        <x:is>
          <x:t xml:space="preserve">Done</x:t>
        </x:is>
      </x:c>
      <x:c r="H8" t="inlineStr">
        <x:is>
          <x:t xml:space="preserve">R3</x:t>
        </x:is>
      </x:c>
      <x:c r="I8" s="18" t="n">
        <x:v>0.1</x:v>
      </x:c>
    </x:row>
    <x:row r="9" ht="32" customHeight="1">
      <x:c r="A9" s="21" t="inlineStr">
        <x:is>
          <x:t xml:space="preserve">R2</x:t>
        </x:is>
      </x:c>
      <x:c r="B9" s="20" t="inlineStr">
        <x:is>
          <x:t xml:space="preserve">Documents retention</x:t>
        </x:is>
      </x:c>
      <x:c r="C9" s="20" t="inlineStr">
        <x:is>
          <x:t xml:space="preserve">Evidence vault live in Odoo Documents</x:t>
        </x:is>
      </x:c>
      <x:c r="D9" s="21" t="inlineStr">
        <x:is>
          <x:t xml:space="preserve">Platform</x:t>
        </x:is>
      </x:c>
      <x:c r="E9" s="21" t="inlineStr">
        <x:is>
          <x:t xml:space="preserve">Core</x:t>
        </x:is>
      </x:c>
      <x:c r="F9" s="21" t="inlineStr">
        <x:is>
          <x:t xml:space="preserve">Planned</x:t>
        </x:is>
      </x:c>
      <x:c r="H9" t="inlineStr">
        <x:is>
          <x:t xml:space="preserve">GA</x:t>
        </x:is>
      </x:c>
      <x:c r="I9" s="18" t="n">
        <x:v>0</x:v>
      </x:c>
    </x:row>
    <x:row r="10" ht="32" customHeight="1">
      <x:c r="A10" s="21" t="inlineStr">
        <x:is>
          <x:t xml:space="preserve">R2</x:t>
        </x:is>
      </x:c>
      <x:c r="B10" s="20" t="inlineStr">
        <x:is>
          <x:t xml:space="preserve">Documents-grounded answers</x:t>
        </x:is>
      </x:c>
      <x:c r="C10" s="20" t="inlineStr">
        <x:is>
          <x:t xml:space="preserve">Pulser retrieval from retained artifacts</x:t>
        </x:is>
      </x:c>
      <x:c r="D10" s="21" t="inlineStr">
        <x:is>
          <x:t xml:space="preserve">AI</x:t>
        </x:is>
      </x:c>
      <x:c r="E10" s="21" t="inlineStr">
        <x:is>
          <x:t xml:space="preserve">Core</x:t>
        </x:is>
      </x:c>
      <x:c r="F10" s="21" t="inlineStr">
        <x:is>
          <x:t xml:space="preserve">Planned</x:t>
        </x:is>
      </x:c>
    </x:row>
    <x:row r="11" ht="32" customHeight="1">
      <x:c r="A11" s="21" t="inlineStr">
        <x:is>
          <x:t xml:space="preserve">R2</x:t>
        </x:is>
      </x:c>
      <x:c r="B11" s="20" t="inlineStr">
        <x:is>
          <x:t xml:space="preserve">Publish office templates</x:t>
        </x:is>
      </x:c>
      <x:c r="C11" s="20" t="inlineStr">
        <x:is>
          <x:t xml:space="preserve">First publishable deck / doc / workbook set</x:t>
        </x:is>
      </x:c>
      <x:c r="D11" s="21" t="inlineStr">
        <x:is>
          <x:t xml:space="preserve">Design Ops</x:t>
        </x:is>
      </x:c>
      <x:c r="E11" s="21" t="inlineStr">
        <x:is>
          <x:t xml:space="preserve">Core</x:t>
        </x:is>
      </x:c>
      <x:c r="F11" s="21" t="inlineStr">
        <x:is>
          <x:t xml:space="preserve">Planned</x:t>
        </x:is>
      </x:c>
    </x:row>
    <x:row r="12" ht="32" customHeight="1">
      <x:c r="A12" s="21" t="inlineStr">
        <x:is>
          <x:t xml:space="preserve">R3</x:t>
        </x:is>
      </x:c>
      <x:c r="B12" s="20" t="inlineStr">
        <x:is>
          <x:t xml:space="preserve">Governed release gate</x:t>
        </x:is>
      </x:c>
      <x:c r="C12" s="20" t="inlineStr">
        <x:is>
          <x:t xml:space="preserve">Policies + evals + red-team + evidence checks</x:t>
        </x:is>
      </x:c>
      <x:c r="D12" s="21" t="inlineStr">
        <x:is>
          <x:t xml:space="preserve">Platform</x:t>
        </x:is>
      </x:c>
      <x:c r="E12" s="21" t="inlineStr">
        <x:is>
          <x:t xml:space="preserve">Hardening</x:t>
        </x:is>
      </x:c>
      <x:c r="F12" s="21" t="inlineStr">
        <x:is>
          <x:t xml:space="preserve">Planned</x:t>
        </x:is>
      </x:c>
    </x:row>
  </x:sheetData>
  <x:pageMargins left="0.7" right="0.7" top="0.75" bottom="0.75" header="0.3" footer="0.3"/>
  <x:drawing xmlns:r="http://schemas.openxmlformats.org/officeDocument/2006/relationships" r:id="R68d6d35ff0c647b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2" customWidth="1"/>
    <x:col min="3" max="3" width="15" customWidth="1"/>
    <x:col min="4" max="4" width="18" customWidth="1"/>
    <x:col min="5" max="5" width="18" customWidth="1"/>
    <x:col min="6" max="6" width="20" customWidth="1"/>
  </x:cols>
  <x:sheetData>
    <x:row r="2">
      <x:c r="B2" s="1" t="inlineStr">
        <x:is>
          <x:t xml:space="preserve">Publishable-quality gate checklist</x:t>
        </x:is>
      </x:c>
    </x:row>
    <x:row r="3">
      <x:c r="B3" s="2" t="inlineStr">
        <x:is>
          <x:t xml:space="preserve">Render, reviewer, grounding, and retention checks for all office artifacts</x:t>
        </x:is>
      </x:c>
    </x:row>
    <x:row r="5">
      <x:c r="A5" s="9" t="inlineStr">
        <x:is>
          <x:t xml:space="preserve">Gate</x:t>
        </x:is>
      </x:c>
      <x:c r="B5" s="9" t="inlineStr">
        <x:is>
          <x:t xml:space="preserve">Required</x:t>
        </x:is>
      </x:c>
      <x:c r="C5" s="9" t="inlineStr">
        <x:is>
          <x:t xml:space="preserve">Current</x:t>
        </x:is>
      </x:c>
      <x:c r="D5" s="9" t="inlineStr">
        <x:is>
          <x:t xml:space="preserve">Owner</x:t>
        </x:is>
      </x:c>
      <x:c r="E5" s="9" t="inlineStr">
        <x:is>
          <x:t xml:space="preserve">Evidence link</x:t>
        </x:is>
      </x:c>
      <x:c r="F5" s="9" t="inlineStr">
        <x:is>
          <x:t xml:space="preserve">Comments</x:t>
        </x:is>
      </x:c>
    </x:row>
    <x:row r="6" ht="28" customHeight="1">
      <x:c r="A6" s="20" t="inlineStr">
        <x:is>
          <x:t xml:space="preserve">Content grounded in Odoo / Documents / approved knowledge</x:t>
        </x:is>
      </x:c>
      <x:c r="B6" s="21" t="inlineStr">
        <x:is>
          <x:t xml:space="preserve">Yes</x:t>
        </x:is>
      </x:c>
      <x:c r="C6" s="21" t="inlineStr">
        <x:is>
          <x:t xml:space="preserve">Yes</x:t>
        </x:is>
      </x:c>
      <x:c r="D6" s="20" t="inlineStr">
        <x:is>
          <x:t xml:space="preserve">Product</x:t>
        </x:is>
      </x:c>
      <x:c r="E6" s="20" t="inlineStr">
        <x:is>
          <x:t xml:space="preserve">Documents</x:t>
        </x:is>
      </x:c>
      <x:c r="F6" s="20" t="inlineStr">
        <x:is>
          <x:t xml:space="preserve"/>
        </x:is>
      </x:c>
    </x:row>
    <x:row r="7" ht="28" customHeight="1">
      <x:c r="A7" s="20" t="inlineStr">
        <x:is>
          <x:t xml:space="preserve">Artifact renders cleanly with no layout defects</x:t>
        </x:is>
      </x:c>
      <x:c r="B7" s="21" t="inlineStr">
        <x:is>
          <x:t xml:space="preserve">Yes</x:t>
        </x:is>
      </x:c>
      <x:c r="C7" s="21" t="inlineStr">
        <x:is>
          <x:t xml:space="preserve">Yes</x:t>
        </x:is>
      </x:c>
      <x:c r="D7" s="20" t="inlineStr">
        <x:is>
          <x:t xml:space="preserve">Design Ops</x:t>
        </x:is>
      </x:c>
      <x:c r="E7" s="20" t="inlineStr">
        <x:is>
          <x:t xml:space="preserve">Render QA</x:t>
        </x:is>
      </x:c>
      <x:c r="F7" s="20" t="inlineStr">
        <x:is>
          <x:t xml:space="preserve"/>
        </x:is>
      </x:c>
    </x:row>
    <x:row r="8" ht="28" customHeight="1">
      <x:c r="A8" s="20" t="inlineStr">
        <x:is>
          <x:t xml:space="preserve">Reviewer notes resolved</x:t>
        </x:is>
      </x:c>
      <x:c r="B8" s="21" t="inlineStr">
        <x:is>
          <x:t xml:space="preserve">Yes</x:t>
        </x:is>
      </x:c>
      <x:c r="C8" s="21" t="inlineStr">
        <x:is>
          <x:t xml:space="preserve">In progress</x:t>
        </x:is>
      </x:c>
      <x:c r="D8" s="20" t="inlineStr">
        <x:is>
          <x:t xml:space="preserve">Review Lead</x:t>
        </x:is>
      </x:c>
      <x:c r="E8" s="20" t="inlineStr">
        <x:is>
          <x:t xml:space="preserve">Task / Activity</x:t>
        </x:is>
      </x:c>
      <x:c r="F8" s="20" t="inlineStr">
        <x:is>
          <x:t xml:space="preserve"/>
        </x:is>
      </x:c>
    </x:row>
    <x:row r="9" ht="28" customHeight="1">
      <x:c r="A9" s="20" t="inlineStr">
        <x:is>
          <x:t xml:space="preserve">Retained copies stored in Odoo Documents</x:t>
        </x:is>
      </x:c>
      <x:c r="B9" s="21" t="inlineStr">
        <x:is>
          <x:t xml:space="preserve">Yes</x:t>
        </x:is>
      </x:c>
      <x:c r="C9" s="21" t="inlineStr">
        <x:is>
          <x:t xml:space="preserve">In progress</x:t>
        </x:is>
      </x:c>
      <x:c r="D9" s="20" t="inlineStr">
        <x:is>
          <x:t xml:space="preserve">Compliance</x:t>
        </x:is>
      </x:c>
      <x:c r="E9" s="20" t="inlineStr">
        <x:is>
          <x:t xml:space="preserve">Documents</x:t>
        </x:is>
      </x:c>
      <x:c r="F9" s="20" t="inlineStr">
        <x:is>
          <x:t xml:space="preserve"/>
        </x:is>
      </x:c>
    </x:row>
    <x:row r="12">
      <x:c r="A12" s="8" t="inlineStr">
        <x:is>
          <x:t xml:space="preserve">Completion</x:t>
        </x:is>
      </x:c>
      <x:c r="B12" s="19">
        <x:f>COUNTIF(C6:C9,"Yes")/COUNTA(C6:C9)</x:f>
        <x:v>0.5</x:v>
      </x:c>
    </x:row>
  </x:sheetData>
  <x:pageMargins left="0.7" right="0.7" top="0.75" bottom="0.75" header="0.3" footer="0.3"/>
  <x:legacyDrawing xmlns:r="http://schemas.openxmlformats.org/officeDocument/2006/relationships" r:id="R7200005af80c4f7a"/>
</x:worksheet>
</file>